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56886ae8a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Tower" sheetId="1" r:id="Re88f06362c3a430a"/>
    <x:sheet xmlns:r="http://schemas.openxmlformats.org/officeDocument/2006/relationships" name="SKU Policy" sheetId="2" r:id="Rac008d9b30a34d25"/>
    <x:sheet xmlns:r="http://schemas.openxmlformats.org/officeDocument/2006/relationships" name="ABC-XYZ Matrix" sheetId="3" r:id="R4a1af6dac45e44cd"/>
    <x:sheet xmlns:r="http://schemas.openxmlformats.org/officeDocument/2006/relationships" name="Demand History" sheetId="4" r:id="R948d67c91b1e4a83"/>
    <x:sheet xmlns:r="http://schemas.openxmlformats.org/officeDocument/2006/relationships" name="Parameters" sheetId="5" r:id="R617ff3746f2f4dcd"/>
    <x:sheet xmlns:r="http://schemas.openxmlformats.org/officeDocument/2006/relationships" name="Data Notes" sheetId="6" r:id="R6304ba185256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0.00"/>
    <x:numFmt numFmtId="202" formatCode="#,##0"/>
    <x:numFmt numFmtId="203" formatCode="&quot;INR &quot;#,##0.00"/>
    <x:numFmt numFmtId="204" formatCode="&quot;INR &quot;#,##0"/>
    <x:numFmt numFmtId="205" formatCode="#,##0.0"/>
    <x:numFmt numFmtId="206" formatCode="0.0%"/>
    <x:numFmt numFmtId="207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6"/>
      <x:color rgb="FF172033"/>
      <x:name val="Carlito"/>
    </x:font>
    <x:font>
      <x:b/>
      <x:sz val="18"/>
      <x:color rgb="FF0F766E"/>
      <x:name val="Carlito"/>
    </x:font>
    <x:font>
      <x:i/>
      <x:sz val="11"/>
      <x:color rgb="FF62707C"/>
      <x:name val="Carlito"/>
    </x:font>
    <x:font>
      <x:sz val="11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A3A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3F5F6"/>
      </x:patternFill>
    </x:fill>
    <x:fill>
      <x:patternFill patternType="solid">
        <x:fgColor rgb="FFFFF4DD"/>
      </x:patternFill>
    </x:fill>
  </x:fills>
  <x:borders count="38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right style="thin">
        <x:color rgb="FFD8E0E5"/>
      </x:right>
      <x:top style="thin">
        <x:color rgb="FF0F766E"/>
      </x:top>
      <x:bottom style="thin">
        <x:color rgb="FFD8E0E5"/>
      </x:bottom>
    </x:border>
    <x:border>
      <x:left style="thin">
        <x:color rgb="FFD8E0E5"/>
      </x:left>
      <x:right style="thin">
        <x:color rgb="FFD8E0E5"/>
      </x:right>
      <x:top style="thin">
        <x:color rgb="FF0F766E"/>
      </x:top>
      <x:bottom style="thin">
        <x:color rgb="FFD8E0E5"/>
      </x:bottom>
    </x:border>
    <x:border>
      <x:left style="thin">
        <x:color rgb="FFD8E0E5"/>
      </x:left>
      <x:top style="thin">
        <x:color rgb="FF0F766E"/>
      </x:top>
      <x:bottom style="thin">
        <x:color rgb="FFD8E0E5"/>
      </x:bottom>
    </x:border>
    <x:border>
      <x:left style="thin">
        <x:color rgb="FF0F766E"/>
      </x:left>
      <x:right style="thin">
        <x:color rgb="FFD8E0E5"/>
      </x:right>
      <x:top style="thin">
        <x:color rgb="FFD8E0E5"/>
      </x:top>
      <x:bottom style="thin">
        <x:color rgb="FFD8E0E5"/>
      </x:bottom>
    </x:border>
    <x:border>
      <x:left style="thin">
        <x:color rgb="FFD8E0E5"/>
      </x:left>
      <x:right style="thin">
        <x:color rgb="FFD8E0E5"/>
      </x:right>
      <x:top style="thin">
        <x:color rgb="FFD8E0E5"/>
      </x:top>
      <x:bottom style="thin">
        <x:color rgb="FFD8E0E5"/>
      </x:bottom>
    </x:border>
    <x:border>
      <x:left style="thin">
        <x:color rgb="FFD8E0E5"/>
      </x:left>
      <x:top style="thin">
        <x:color rgb="FFD8E0E5"/>
      </x:top>
      <x:bottom style="thin">
        <x:color rgb="FFD8E0E5"/>
      </x:bottom>
    </x:border>
    <x:border>
      <x:left style="thin">
        <x:color rgb="FF0F766E"/>
      </x:left>
      <x:right style="thin">
        <x:color rgb="FFD8E0E5"/>
      </x:right>
      <x:top style="thin">
        <x:color rgb="FFD8E0E5"/>
      </x:top>
      <x:bottom style="thin">
        <x:color rgb="FF0F766E"/>
      </x:bottom>
    </x:border>
    <x:border>
      <x:left style="thin">
        <x:color rgb="FFD8E0E5"/>
      </x:left>
      <x:right style="thin">
        <x:color rgb="FFD8E0E5"/>
      </x:right>
      <x:top style="thin">
        <x:color rgb="FFD8E0E5"/>
      </x:top>
      <x:bottom style="thin">
        <x:color rgb="FF0F766E"/>
      </x:bottom>
    </x:border>
    <x:border>
      <x:left style="thin">
        <x:color rgb="FFD8E0E5"/>
      </x:left>
      <x:top style="thin">
        <x:color rgb="FFD8E0E5"/>
      </x:top>
      <x:bottom style="thin">
        <x:color rgb="FF0F766E"/>
      </x:bottom>
    </x:border>
    <x:border>
      <x:right style="thin">
        <x:color rgb="FFD8E0E5"/>
      </x:right>
      <x:bottom style="thin">
        <x:color rgb="FFD8E0E5"/>
      </x:bottom>
    </x:border>
    <x:border>
      <x:left style="thin">
        <x:color rgb="FFD8E0E5"/>
      </x:left>
      <x:right style="thin">
        <x:color rgb="FFD8E0E5"/>
      </x:right>
      <x:bottom style="thin">
        <x:color rgb="FFD8E0E5"/>
      </x:bottom>
    </x:border>
    <x:border>
      <x:left style="thin">
        <x:color rgb="FFD8E0E5"/>
      </x:left>
      <x:bottom style="thin">
        <x:color rgb="FFD8E0E5"/>
      </x:bottom>
    </x:border>
    <x:border>
      <x:right style="thin">
        <x:color rgb="FFD8E0E5"/>
      </x:right>
      <x:top style="thin">
        <x:color rgb="FFD8E0E5"/>
      </x:top>
      <x:bottom style="thin">
        <x:color rgb="FFD8E0E5"/>
      </x:bottom>
    </x:border>
    <x:border>
      <x:right style="thin">
        <x:color rgb="FFD8E0E5"/>
      </x:right>
      <x:top style="thin">
        <x:color rgb="FFD8E0E5"/>
      </x:top>
    </x:border>
    <x:border>
      <x:left style="thin">
        <x:color rgb="FFD8E0E5"/>
      </x:left>
      <x:right style="thin">
        <x:color rgb="FFD8E0E5"/>
      </x:right>
      <x:top style="thin">
        <x:color rgb="FFD8E0E5"/>
      </x:top>
    </x:border>
    <x:border>
      <x:left style="thin">
        <x:color rgb="FFD8E0E5"/>
      </x:left>
      <x:top style="thin">
        <x:color rgb="FFD8E0E5"/>
      </x:top>
    </x:border>
    <x:border>
      <x:left style="thin">
        <x:color rgb="FF0F766E"/>
      </x:left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top style="thin">
        <x:color rgb="FFD8E0E5"/>
      </x:top>
    </x:border>
    <x:border>
      <x:left style="thin">
        <x:color rgb="FFD8E0E5"/>
      </x:left>
    </x:border>
    <x:border>
      <x:right style="thin">
        <x:color rgb="FFD8E0E5"/>
      </x:right>
    </x:border>
    <x:border>
      <x:bottom style="thin">
        <x:color rgb="FFD8E0E5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3" fillId="4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4" fillId="4" borderId="0" xfId="0" applyNumberFormat="1" applyFont="1" applyFill="1" applyBorder="1"/>
    <x:xf numFmtId="207" fontId="4" fillId="4" borderId="0" xfId="0" applyNumberFormat="1" applyFont="1" applyFill="1" applyBorder="1"/>
    <x:xf numFmtId="207" fontId="4" fillId="4" borderId="0" xfId="0" applyNumberFormat="1" applyFont="1" applyFill="1" applyBorder="1" applyAlignment="1">
      <x:alignment horizontal="center"/>
    </x:xf>
    <x:xf numFmtId="207" fontId="4" fillId="4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207" fontId="4" fillId="4" borderId="8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0" xfId="0" applyNumberFormat="1" applyFont="1" applyFill="1" applyBorder="1" applyAlignment="1">
      <x:alignment horizontal="center"/>
    </x:xf>
    <x:xf numFmtId="0" fontId="2" fillId="3" borderId="21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24" xfId="0" applyNumberFormat="1" applyFont="1" applyFill="1" applyBorder="1"/>
    <x:xf numFmtId="0" fontId="4" fillId="4" borderId="25" xfId="0" applyNumberFormat="1" applyFont="1" applyFill="1" applyBorder="1"/>
    <x:xf numFmtId="204" fontId="4" fillId="4" borderId="22" xfId="0" applyNumberFormat="1" applyFont="1" applyFill="1" applyBorder="1"/>
    <x:xf numFmtId="204" fontId="4" fillId="4" borderId="23" xfId="0" applyNumberFormat="1" applyFont="1" applyFill="1" applyBorder="1"/>
    <x:xf numFmtId="204" fontId="4" fillId="4" borderId="24" xfId="0" applyNumberFormat="1" applyFont="1" applyFill="1" applyBorder="1"/>
    <x:xf numFmtId="204" fontId="4" fillId="4" borderId="25" xfId="0" applyNumberFormat="1" applyFont="1" applyFill="1" applyBorder="1"/>
    <x:xf numFmtId="204" fontId="4" fillId="4" borderId="22" xfId="0" applyNumberFormat="1" applyFont="1" applyFill="1" applyBorder="1" applyAlignment="1">
      <x:alignment horizontal="center"/>
    </x:xf>
    <x:xf numFmtId="204" fontId="4" fillId="4" borderId="23" xfId="0" applyNumberFormat="1" applyFont="1" applyFill="1" applyBorder="1" applyAlignment="1">
      <x:alignment horizontal="center"/>
    </x:xf>
    <x:xf numFmtId="204" fontId="4" fillId="4" borderId="24" xfId="0" applyNumberFormat="1" applyFont="1" applyFill="1" applyBorder="1" applyAlignment="1">
      <x:alignment horizontal="center"/>
    </x:xf>
    <x:xf numFmtId="204" fontId="4" fillId="4" borderId="25" xfId="0" applyNumberFormat="1" applyFont="1" applyFill="1" applyBorder="1" applyAlignment="1">
      <x:alignment horizontal="center"/>
    </x:xf>
    <x:xf numFmtId="204" fontId="4" fillId="4" borderId="22" xfId="0" applyNumberFormat="1" applyFont="1" applyFill="1" applyBorder="1" applyAlignment="1">
      <x:alignment horizontal="center" vertical="center"/>
    </x:xf>
    <x:xf numFmtId="204" fontId="4" fillId="4" borderId="23" xfId="0" applyNumberFormat="1" applyFont="1" applyFill="1" applyBorder="1" applyAlignment="1">
      <x:alignment horizontal="center" vertical="center"/>
    </x:xf>
    <x:xf numFmtId="204" fontId="4" fillId="4" borderId="24" xfId="0" applyNumberFormat="1" applyFont="1" applyFill="1" applyBorder="1" applyAlignment="1">
      <x:alignment horizontal="center" vertical="center"/>
    </x:xf>
    <x:xf numFmtId="204" fontId="4" fillId="4" borderId="25" xfId="0" applyNumberFormat="1" applyFont="1" applyFill="1" applyBorder="1" applyAlignment="1">
      <x:alignment horizontal="center" vertical="center"/>
    </x:xf>
    <x:xf numFmtId="207" fontId="4" fillId="4" borderId="22" xfId="0" applyNumberFormat="1" applyFont="1" applyFill="1" applyBorder="1"/>
    <x:xf numFmtId="207" fontId="4" fillId="4" borderId="23" xfId="0" applyNumberFormat="1" applyFont="1" applyFill="1" applyBorder="1"/>
    <x:xf numFmtId="207" fontId="4" fillId="4" borderId="24" xfId="0" applyNumberFormat="1" applyFont="1" applyFill="1" applyBorder="1"/>
    <x:xf numFmtId="207" fontId="4" fillId="4" borderId="25" xfId="0" applyNumberFormat="1" applyFont="1" applyFill="1" applyBorder="1"/>
    <x:xf numFmtId="207" fontId="4" fillId="4" borderId="22" xfId="0" applyNumberFormat="1" applyFont="1" applyFill="1" applyBorder="1" applyAlignment="1">
      <x:alignment horizontal="center"/>
    </x:xf>
    <x:xf numFmtId="207" fontId="4" fillId="4" borderId="23" xfId="0" applyNumberFormat="1" applyFont="1" applyFill="1" applyBorder="1" applyAlignment="1">
      <x:alignment horizontal="center"/>
    </x:xf>
    <x:xf numFmtId="207" fontId="4" fillId="4" borderId="24" xfId="0" applyNumberFormat="1" applyFont="1" applyFill="1" applyBorder="1" applyAlignment="1">
      <x:alignment horizontal="center"/>
    </x:xf>
    <x:xf numFmtId="207" fontId="4" fillId="4" borderId="25" xfId="0" applyNumberFormat="1" applyFont="1" applyFill="1" applyBorder="1" applyAlignment="1">
      <x:alignment horizontal="center"/>
    </x:xf>
    <x:xf numFmtId="207" fontId="4" fillId="4" borderId="22" xfId="0" applyNumberFormat="1" applyFont="1" applyFill="1" applyBorder="1" applyAlignment="1">
      <x:alignment horizontal="center" vertical="center"/>
    </x:xf>
    <x:xf numFmtId="207" fontId="4" fillId="4" borderId="23" xfId="0" applyNumberFormat="1" applyFont="1" applyFill="1" applyBorder="1" applyAlignment="1">
      <x:alignment horizontal="center" vertical="center"/>
    </x:xf>
    <x:xf numFmtId="207" fontId="4" fillId="4" borderId="24" xfId="0" applyNumberFormat="1" applyFont="1" applyFill="1" applyBorder="1" applyAlignment="1">
      <x:alignment horizontal="center" vertical="center"/>
    </x:xf>
    <x:xf numFmtId="207" fontId="4" fillId="4" borderId="25" xfId="0" applyNumberFormat="1" applyFont="1" applyFill="1" applyBorder="1" applyAlignment="1">
      <x:alignment horizontal="center" vertical="center"/>
    </x:xf>
    <x:xf numFmtId="202" fontId="4" fillId="4" borderId="22" xfId="0" applyNumberFormat="1" applyFont="1" applyFill="1" applyBorder="1"/>
    <x:xf numFmtId="202" fontId="4" fillId="4" borderId="23" xfId="0" applyNumberFormat="1" applyFont="1" applyFill="1" applyBorder="1"/>
    <x:xf numFmtId="202" fontId="4" fillId="4" borderId="24" xfId="0" applyNumberFormat="1" applyFont="1" applyFill="1" applyBorder="1"/>
    <x:xf numFmtId="202" fontId="4" fillId="4" borderId="25" xfId="0" applyNumberFormat="1" applyFont="1" applyFill="1" applyBorder="1"/>
    <x:xf numFmtId="202" fontId="4" fillId="4" borderId="22" xfId="0" applyNumberFormat="1" applyFont="1" applyFill="1" applyBorder="1" applyAlignment="1">
      <x:alignment horizontal="center"/>
    </x:xf>
    <x:xf numFmtId="202" fontId="4" fillId="4" borderId="23" xfId="0" applyNumberFormat="1" applyFont="1" applyFill="1" applyBorder="1" applyAlignment="1">
      <x:alignment horizontal="center"/>
    </x:xf>
    <x:xf numFmtId="202" fontId="4" fillId="4" borderId="24" xfId="0" applyNumberFormat="1" applyFont="1" applyFill="1" applyBorder="1" applyAlignment="1">
      <x:alignment horizontal="center"/>
    </x:xf>
    <x:xf numFmtId="202" fontId="4" fillId="4" borderId="25" xfId="0" applyNumberFormat="1" applyFont="1" applyFill="1" applyBorder="1" applyAlignment="1">
      <x:alignment horizontal="center"/>
    </x:xf>
    <x:xf numFmtId="202" fontId="4" fillId="4" borderId="22" xfId="0" applyNumberFormat="1" applyFont="1" applyFill="1" applyBorder="1" applyAlignment="1">
      <x:alignment horizontal="center" vertical="center"/>
    </x:xf>
    <x:xf numFmtId="202" fontId="4" fillId="4" borderId="23" xfId="0" applyNumberFormat="1" applyFont="1" applyFill="1" applyBorder="1" applyAlignment="1">
      <x:alignment horizontal="center" vertical="center"/>
    </x:xf>
    <x:xf numFmtId="202" fontId="4" fillId="4" borderId="24" xfId="0" applyNumberFormat="1" applyFont="1" applyFill="1" applyBorder="1" applyAlignment="1">
      <x:alignment horizontal="center" vertical="center"/>
    </x:xf>
    <x:xf numFmtId="202" fontId="4" fillId="4" borderId="2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6" xfId="0" applyNumberFormat="1" applyFont="1" applyFill="1" applyBorder="1"/>
    <x:xf numFmtId="0" fontId="7" fillId="6" borderId="27" xfId="0" applyNumberFormat="1" applyFont="1" applyFill="1" applyBorder="1"/>
    <x:xf numFmtId="0" fontId="7" fillId="6" borderId="28" xfId="0" applyNumberFormat="1" applyFont="1" applyFill="1" applyBorder="1"/>
    <x:xf numFmtId="0" fontId="7" fillId="6" borderId="29" xfId="0" applyNumberFormat="1" applyFont="1" applyFill="1" applyBorder="1"/>
    <x:xf numFmtId="0" fontId="7" fillId="6" borderId="30" xfId="0" applyNumberFormat="1" applyFont="1" applyFill="1" applyBorder="1"/>
    <x:xf numFmtId="0" fontId="7" fillId="6" borderId="31" xfId="0" applyNumberFormat="1" applyFont="1" applyFill="1" applyBorder="1"/>
    <x:xf numFmtId="0" fontId="7" fillId="6" borderId="32" xfId="0" applyNumberFormat="1" applyFont="1" applyFill="1" applyBorder="1"/>
    <x:xf numFmtId="0" fontId="7" fillId="6" borderId="33" xfId="0" applyNumberFormat="1" applyFont="1" applyFill="1" applyBorder="1"/>
    <x:xf numFmtId="0" fontId="7" fillId="6" borderId="26" xfId="0" applyNumberFormat="1" applyFont="1" applyFill="1" applyBorder="1" applyAlignment="1">
      <x:alignment wrapText="1"/>
    </x:xf>
    <x:xf numFmtId="0" fontId="7" fillId="6" borderId="27" xfId="0" applyNumberFormat="1" applyFont="1" applyFill="1" applyBorder="1" applyAlignment="1">
      <x:alignment wrapText="1"/>
    </x:xf>
    <x:xf numFmtId="0" fontId="7" fillId="6" borderId="28" xfId="0" applyNumberFormat="1" applyFont="1" applyFill="1" applyBorder="1" applyAlignment="1">
      <x:alignment wrapText="1"/>
    </x:xf>
    <x:xf numFmtId="0" fontId="7" fillId="6" borderId="29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30" xfId="0" applyNumberFormat="1" applyFont="1" applyFill="1" applyBorder="1" applyAlignment="1">
      <x:alignment wrapText="1"/>
    </x:xf>
    <x:xf numFmtId="0" fontId="7" fillId="6" borderId="31" xfId="0" applyNumberFormat="1" applyFont="1" applyFill="1" applyBorder="1" applyAlignment="1">
      <x:alignment wrapText="1"/>
    </x:xf>
    <x:xf numFmtId="0" fontId="7" fillId="6" borderId="32" xfId="0" applyNumberFormat="1" applyFont="1" applyFill="1" applyBorder="1" applyAlignment="1">
      <x:alignment wrapText="1"/>
    </x:xf>
    <x:xf numFmtId="0" fontId="7" fillId="6" borderId="33" xfId="0" applyNumberFormat="1" applyFont="1" applyFill="1" applyBorder="1" applyAlignment="1">
      <x:alignment wrapText="1"/>
    </x:xf>
    <x:xf numFmtId="0" fontId="7" fillId="6" borderId="26" xfId="0" applyNumberFormat="1" applyFont="1" applyFill="1" applyBorder="1" applyAlignment="1">
      <x:alignment vertical="center" wrapText="1"/>
    </x:xf>
    <x:xf numFmtId="0" fontId="7" fillId="6" borderId="27" xfId="0" applyNumberFormat="1" applyFont="1" applyFill="1" applyBorder="1" applyAlignment="1">
      <x:alignment vertical="center" wrapText="1"/>
    </x:xf>
    <x:xf numFmtId="0" fontId="7" fillId="6" borderId="28" xfId="0" applyNumberFormat="1" applyFont="1" applyFill="1" applyBorder="1" applyAlignment="1">
      <x:alignment vertical="center" wrapText="1"/>
    </x:xf>
    <x:xf numFmtId="0" fontId="7" fillId="6" borderId="2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30" xfId="0" applyNumberFormat="1" applyFont="1" applyFill="1" applyBorder="1" applyAlignment="1">
      <x:alignment vertical="center" wrapText="1"/>
    </x:xf>
    <x:xf numFmtId="0" fontId="7" fillId="6" borderId="31" xfId="0" applyNumberFormat="1" applyFont="1" applyFill="1" applyBorder="1" applyAlignment="1">
      <x:alignment vertical="center" wrapText="1"/>
    </x:xf>
    <x:xf numFmtId="0" fontId="7" fillId="6" borderId="32" xfId="0" applyNumberFormat="1" applyFont="1" applyFill="1" applyBorder="1" applyAlignment="1">
      <x:alignment vertical="center" wrapText="1"/>
    </x:xf>
    <x:xf numFmtId="0" fontId="7" fillId="6" borderId="33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/>
    <x:xf numFmtId="0" fontId="6" fillId="5" borderId="34" xfId="0" applyNumberFormat="1" applyFont="1" applyFill="1" applyBorder="1"/>
    <x:xf numFmtId="0" fontId="6" fillId="5" borderId="17" xfId="0" applyNumberFormat="1" applyFont="1" applyFill="1" applyBorder="1"/>
    <x:xf numFmtId="0" fontId="6" fillId="5" borderId="35" xfId="0" applyNumberFormat="1" applyFont="1" applyFill="1" applyBorder="1"/>
    <x:xf numFmtId="0" fontId="6" fillId="5" borderId="36" xfId="0" applyNumberFormat="1" applyFont="1" applyFill="1" applyBorder="1"/>
    <x:xf numFmtId="0" fontId="6" fillId="5" borderId="15" xfId="0" applyNumberFormat="1" applyFont="1" applyFill="1" applyBorder="1"/>
    <x:xf numFmtId="0" fontId="6" fillId="5" borderId="37" xfId="0" applyNumberFormat="1" applyFont="1" applyFill="1" applyBorder="1"/>
    <x:xf numFmtId="0" fontId="6" fillId="5" borderId="13" xfId="0" applyNumberFormat="1" applyFont="1" applyFill="1" applyBorder="1"/>
    <x:xf numFmtId="0" fontId="6" fillId="5" borderId="19" xfId="0" applyNumberFormat="1" applyFont="1" applyFill="1" applyBorder="1" applyAlignment="1">
      <x:alignment wrapText="1"/>
    </x:xf>
    <x:xf numFmtId="0" fontId="6" fillId="5" borderId="34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3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36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37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34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35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36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37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/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DECEC"/>
        </x:patternFill>
      </x:fill>
    </x:dxf>
    <x:dxf>
      <x:font>
        <x:b/>
        <x:color rgb="FF9A5A00"/>
      </x:font>
      <x:fill>
        <x:patternFill patternType="solid">
          <x:bgColor rgb="FFFFF4DD"/>
        </x:patternFill>
      </x:fill>
    </x:dxf>
    <x:dxf>
      <x:font>
        <x:color rgb="FF0F766E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8b8cc7a5f443a" /><Relationship Type="http://schemas.openxmlformats.org/officeDocument/2006/relationships/theme" Target="/xl/theme/theme1.xml" Id="Rc72a4d51ea1d4bd2" /><Relationship Type="http://schemas.openxmlformats.org/officeDocument/2006/relationships/sharedStrings" Target="/xl/sharedStrings.xml" Id="R56f07c93a8f241fc" /><Relationship Type="http://schemas.openxmlformats.org/officeDocument/2006/relationships/worksheet" Target="/xl/worksheets/sheet1.xml" Id="Re88f06362c3a430a" /><Relationship Type="http://schemas.openxmlformats.org/officeDocument/2006/relationships/worksheet" Target="/xl/worksheets/sheet2.xml" Id="Rac008d9b30a34d25" /><Relationship Type="http://schemas.openxmlformats.org/officeDocument/2006/relationships/worksheet" Target="/xl/worksheets/sheet3.xml" Id="R4a1af6dac45e44cd" /><Relationship Type="http://schemas.openxmlformats.org/officeDocument/2006/relationships/worksheet" Target="/xl/worksheets/sheet4.xml" Id="R948d67c91b1e4a83" /><Relationship Type="http://schemas.openxmlformats.org/officeDocument/2006/relationships/worksheet" Target="/xl/worksheets/sheet5.xml" Id="R617ff3746f2f4dcd" /><Relationship Type="http://schemas.openxmlformats.org/officeDocument/2006/relationships/worksheet" Target="/xl/worksheets/sheet6.xml" Id="R6304ba18525642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c4606c9ce94d17" /><Relationship Type="http://schemas.openxmlformats.org/officeDocument/2006/relationships/chart" Target="/xl/drawings/charts/chart2.xml" Id="Rae5051122ca042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SKUs by operating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SKU Count</c:v>
          </c:tx>
          <c:cat>
            <c:strRef>
              <c:f>'Control Tower'!$N$5:$N$8</c:f>
              <c:strCache>
                <c:ptCount val="0"/>
              </c:strCache>
            </c:strRef>
          </c:cat>
          <c:val>
            <c:numRef>
              <c:f>'Control Tower'!$O$5:$O$8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Inventory value by category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Inventory Value INR</c:v>
          </c:tx>
          <c:cat>
            <c:strRef>
              <c:f>'Control Tower'!$Q$5:$Q$8</c:f>
              <c:strCache>
                <c:ptCount val="0"/>
              </c:strCache>
            </c:strRef>
          </c:cat>
          <c:val>
            <c:numRef>
              <c:f>'Control Tower'!$R$5:$R$8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c4606c9ce94d17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5051122ca042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kuPolicyTable" displayName="SkuPolicyTable" ref="A4:AA40" headerRowCount="1" totalsRowCount="0" totalsRowShown="0">
  <x:tableColumns count="27">
    <x:tableColumn id="1" name="SKU ID"/>
    <x:tableColumn id="2" name="Product"/>
    <x:tableColumn id="3" name="Category"/>
    <x:tableColumn id="4" name="Unit Cost INR"/>
    <x:tableColumn id="5" name="Lead Time Days"/>
    <x:tableColumn id="6" name="Order Cost INR"/>
    <x:tableColumn id="7" name="Annual Demand"/>
    <x:tableColumn id="8" name="Avg Monthly"/>
    <x:tableColumn id="9" name="Std Dev"/>
    <x:tableColumn id="10" name="CV"/>
    <x:tableColumn id="11" name="Annual Value INR"/>
    <x:tableColumn id="12" name="Value Share"/>
    <x:tableColumn id="13" name="Cumulative Share"/>
    <x:tableColumn id="14" name="ABC"/>
    <x:tableColumn id="15" name="XYZ"/>
    <x:tableColumn id="16" name="Service Factor"/>
    <x:tableColumn id="17" name="Safety Stock"/>
    <x:tableColumn id="18" name="Reorder Point"/>
    <x:tableColumn id="19" name="EOQ"/>
    <x:tableColumn id="20" name="Current Stock"/>
    <x:tableColumn id="21" name="On Order"/>
    <x:tableColumn id="22" name="Inventory Position"/>
    <x:tableColumn id="23" name="Recommended Order"/>
    <x:tableColumn id="24" name="Risk Status"/>
    <x:tableColumn id="25" name="Excess Units"/>
    <x:tableColumn id="26" name="Potential Release INR"/>
    <x:tableColumn id="27" name="Inventory Value IN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DemandHistoryTable" displayName="DemandHistoryTable" ref="A4:Y40" headerRowCount="1" totalsRowCount="0" totalsRowShown="0">
  <x:tableColumns count="25">
    <x:tableColumn id="1" name="SKU ID"/>
    <x:tableColumn id="2" name="2024-01-01"/>
    <x:tableColumn id="3" name="2024-02-01"/>
    <x:tableColumn id="4" name="2024-03-01"/>
    <x:tableColumn id="5" name="2024-04-01"/>
    <x:tableColumn id="6" name="2024-05-01"/>
    <x:tableColumn id="7" name="2024-06-01"/>
    <x:tableColumn id="8" name="2024-07-01"/>
    <x:tableColumn id="9" name="2024-08-01"/>
    <x:tableColumn id="10" name="2024-09-01"/>
    <x:tableColumn id="11" name="2024-10-01"/>
    <x:tableColumn id="12" name="2024-11-01"/>
    <x:tableColumn id="13" name="2024-12-01"/>
    <x:tableColumn id="14" name="2025-01-01"/>
    <x:tableColumn id="15" name="2025-02-01"/>
    <x:tableColumn id="16" name="2025-03-01"/>
    <x:tableColumn id="17" name="2025-04-01"/>
    <x:tableColumn id="18" name="2025-05-01"/>
    <x:tableColumn id="19" name="2025-06-01"/>
    <x:tableColumn id="20" name="2025-07-01"/>
    <x:tableColumn id="21" name="2025-08-01"/>
    <x:tableColumn id="22" name="2025-09-01"/>
    <x:tableColumn id="23" name="2025-10-01"/>
    <x:tableColumn id="24" name="2025-11-01"/>
    <x:tableColumn id="25" name="2025-12-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dcd52e6a844e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fc6c61d5844a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d7c2f9e9ea143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3" customHeight="1">
      <x:c r="A1" s="3" t="str">
        <x:v>FMCG Demand and Inventory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71" t="str">
        <x:v>Synthetic 36-SKU portfolio | Formula-driven Excel model | Python and SQL reconciliation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</x:row>
    <x:row r="4" ht="23" customHeight="1">
      <x:c r="N4" t="str">
        <x:v>Risk Status</x:v>
      </x:c>
      <x:c r="O4" t="str">
        <x:v>SKU Count</x:v>
      </x:c>
      <x:c r="Q4" t="str">
        <x:v>Category</x:v>
      </x:c>
      <x:c r="R4" t="str">
        <x:v>Inventory Value INR</x:v>
      </x:c>
    </x:row>
    <x:row r="5" ht="23" customHeight="1">
      <x:c r="A5" s="82" t="str">
        <x:v>Inventory value</x:v>
      </x:c>
      <x:c r="B5" s="83"/>
      <x:c r="C5" s="82" t="str">
        <x:v>Order queue</x:v>
      </x:c>
      <x:c r="D5" s="83"/>
      <x:c r="E5" s="82" t="str">
        <x:v>Stockout risk</x:v>
      </x:c>
      <x:c r="F5" s="83"/>
      <x:c r="G5" s="82" t="str">
        <x:v>Recommended units</x:v>
      </x:c>
      <x:c r="H5" s="83"/>
      <x:c r="I5" s="82" t="str">
        <x:v>Potential release</x:v>
      </x:c>
      <x:c r="J5" s="83"/>
      <x:c r="K5" s="82" t="str">
        <x:v>A-class SKUs</x:v>
      </x:c>
      <x:c r="L5" s="83"/>
      <x:c r="N5" t="str">
        <x:v>Stockout risk</x:v>
      </x:c>
      <x:c r="O5" t="n">
        <x:f>COUNTIF('SKU Policy'!$X$5:$X$40,N5)</x:f>
        <x:v>6</x:v>
      </x:c>
      <x:c r="Q5" t="str">
        <x:v>Beverages</x:v>
      </x:c>
      <x:c r="R5" t="n">
        <x:f>SUMIF('SKU Policy'!$C$5:$C$40,Q5,'SKU Policy'!$AA$5:$AA$40)</x:f>
        <x:v>527988.53</x:v>
      </x:c>
    </x:row>
    <x:row r="6" ht="23" customHeight="1">
      <x:c r="A6" s="96" t="n">
        <x:f>SUM('SKU Policy'!AA5:AA40)</x:f>
        <x:v>2798215.55</x:v>
      </x:c>
      <x:c r="B6" s="97"/>
      <x:c r="C6" s="108" t="n">
        <x:f>COUNTIF('SKU Policy'!X5:X40,"Stockout risk")+COUNTIF('SKU Policy'!X5:X40,"Reorder now")</x:f>
        <x:v>9</x:v>
      </x:c>
      <x:c r="D6" s="109"/>
      <x:c r="E6" s="108" t="n">
        <x:f>COUNTIF('SKU Policy'!X5:X40,"Stockout risk")</x:f>
        <x:v>6</x:v>
      </x:c>
      <x:c r="F6" s="109"/>
      <x:c r="G6" s="120" t="n">
        <x:f>SUM('SKU Policy'!W5:W40)</x:f>
        <x:v>11277</x:v>
      </x:c>
      <x:c r="H6" s="121"/>
      <x:c r="I6" s="96" t="n">
        <x:f>SUM('SKU Policy'!Z5:Z40)</x:f>
        <x:v>1156358.8800000001</x:v>
      </x:c>
      <x:c r="J6" s="97"/>
      <x:c r="K6" s="108" t="n">
        <x:f>COUNTIF('SKU Policy'!N5:N40,"A")</x:f>
        <x:v>20</x:v>
      </x:c>
      <x:c r="L6" s="109"/>
      <x:c r="N6" t="str">
        <x:v>Reorder now</x:v>
      </x:c>
      <x:c r="O6" t="n">
        <x:f>COUNTIF('SKU Policy'!$X$5:$X$40,N6)</x:f>
        <x:v>3</x:v>
      </x:c>
      <x:c r="Q6" t="str">
        <x:v>Snacks</x:v>
      </x:c>
      <x:c r="R6" t="n">
        <x:f>SUMIF('SKU Policy'!$C$5:$C$40,Q6,'SKU Policy'!$AA$5:$AA$40)</x:f>
        <x:v>465870.16000000003</x:v>
      </x:c>
    </x:row>
    <x:row r="7" ht="23" customHeight="1">
      <x:c r="A7" s="98"/>
      <x:c r="B7" s="99"/>
      <x:c r="C7" s="110"/>
      <x:c r="D7" s="111"/>
      <x:c r="E7" s="110"/>
      <x:c r="F7" s="111"/>
      <x:c r="G7" s="122"/>
      <x:c r="H7" s="123"/>
      <x:c r="I7" s="98"/>
      <x:c r="J7" s="99"/>
      <x:c r="K7" s="110"/>
      <x:c r="L7" s="111"/>
      <x:c r="N7" t="str">
        <x:v>Monitor</x:v>
      </x:c>
      <x:c r="O7" t="n">
        <x:f>COUNTIF('SKU Policy'!$X$5:$X$40,N7)</x:f>
        <x:v>3</x:v>
      </x:c>
      <x:c r="Q7" t="str">
        <x:v>Personal Care</x:v>
      </x:c>
      <x:c r="R7" t="n">
        <x:f>SUMIF('SKU Policy'!$C$5:$C$40,Q7,'SKU Policy'!$AA$5:$AA$40)</x:f>
        <x:v>970184.2600000001</x:v>
      </x:c>
    </x:row>
    <x:row r="8" ht="23" customHeight="1">
      <x:c r="N8" t="str">
        <x:v>Healthy</x:v>
      </x:c>
      <x:c r="O8" t="n">
        <x:f>COUNTIF('SKU Policy'!$X$5:$X$40,N8)</x:f>
        <x:v>24</x:v>
      </x:c>
      <x:c r="Q8" t="str">
        <x:v>Home Care</x:v>
      </x:c>
      <x:c r="R8" t="n">
        <x:f>SUMIF('SKU Policy'!$C$5:$C$40,Q8,'SKU Policy'!$AA$5:$AA$40)</x:f>
        <x:v>834172.5999999999</x:v>
      </x:c>
    </x:row>
    <x:row r="9" ht="23" customHeight="1">
      <x:c r="A9" s="39" t="str">
        <x:v>Operating call</x:v>
      </x:c>
      <x:c r="B9" s="39" t="str">
        <x:v>Operating call</x:v>
      </x:c>
      <x:c r="C9" s="39" t="str">
        <x:v>Operating call</x:v>
      </x:c>
      <x:c r="D9" s="39" t="str">
        <x:v>Operating call</x:v>
      </x:c>
      <x:c r="E9" s="39" t="str">
        <x:v>Operating call</x:v>
      </x:c>
      <x:c r="F9" s="39" t="str">
        <x:v>Operating call</x:v>
      </x:c>
      <x:c r="G9" s="39" t="str">
        <x:v>Operating call</x:v>
      </x:c>
      <x:c r="H9" s="39" t="str">
        <x:v>Operating call</x:v>
      </x:c>
      <x:c r="I9" s="39" t="str">
        <x:v>Operating call</x:v>
      </x:c>
      <x:c r="J9" s="39" t="str">
        <x:v>Operating call</x:v>
      </x:c>
      <x:c r="K9" s="39" t="str">
        <x:v>Operating call</x:v>
      </x:c>
      <x:c r="L9" s="39" t="str">
        <x:v>Operating call</x:v>
      </x:c>
    </x:row>
    <x:row r="10" ht="23" customHeight="1">
      <x:c r="A10" s="143" t="str">
        <x:v>Protect service first: 6 SKUs sit below expected lead-time demand in the fixed dataset.</x:v>
      </x:c>
      <x:c r="B10" s="144"/>
      <x:c r="C10" s="144"/>
      <x:c r="D10" s="144"/>
      <x:c r="E10" s="144" t="str">
        <x:v>9 SKUs need an order. Confirm supplier availability and inbound stock before release.</x:v>
      </x:c>
      <x:c r="F10" s="144"/>
      <x:c r="G10" s="144"/>
      <x:c r="H10" s="144"/>
      <x:c r="I10" s="144" t="str">
        <x:v>Review INR 11,56,359 of potential excess only after expiry, MOQ and promotion checks.</x:v>
      </x:c>
      <x:c r="J10" s="144"/>
      <x:c r="K10" s="144"/>
      <x:c r="L10" s="145"/>
    </x:row>
    <x:row r="11" ht="23" customHeight="1">
      <x:c r="A11" s="146"/>
      <x:c r="B11" s="147"/>
      <x:c r="C11" s="147"/>
      <x:c r="D11" s="147"/>
      <x:c r="E11" s="147"/>
      <x:c r="F11" s="147"/>
      <x:c r="G11" s="147"/>
      <x:c r="H11" s="147"/>
      <x:c r="I11" s="147"/>
      <x:c r="J11" s="147"/>
      <x:c r="K11" s="147"/>
      <x:c r="L11" s="148"/>
    </x:row>
    <x:row r="12" ht="23" customHeight="1">
      <x:c r="A12" s="146"/>
      <x:c r="B12" s="147"/>
      <x:c r="C12" s="147"/>
      <x:c r="D12" s="147"/>
      <x:c r="E12" s="147"/>
      <x:c r="F12" s="147"/>
      <x:c r="G12" s="147"/>
      <x:c r="H12" s="147"/>
      <x:c r="I12" s="147"/>
      <x:c r="J12" s="147"/>
      <x:c r="K12" s="147"/>
      <x:c r="L12" s="148"/>
    </x:row>
    <x:row r="13" ht="23" customHeight="1">
      <x:c r="A13" s="149"/>
      <x:c r="B13" s="150"/>
      <x:c r="C13" s="150"/>
      <x:c r="D13" s="150"/>
      <x:c r="E13" s="150"/>
      <x:c r="F13" s="150"/>
      <x:c r="G13" s="150"/>
      <x:c r="H13" s="150"/>
      <x:c r="I13" s="150"/>
      <x:c r="J13" s="150"/>
      <x:c r="K13" s="150"/>
      <x:c r="L13" s="151"/>
    </x:row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  <x:row r="21" ht="23" customHeight="1"/>
    <x:row r="22" ht="23" customHeight="1"/>
    <x:row r="23" ht="23" customHeight="1"/>
    <x:row r="24" ht="23" customHeight="1"/>
    <x:row r="25" ht="23" customHeight="1"/>
    <x:row r="26" ht="23" customHeight="1"/>
    <x:row r="27" ht="23" customHeight="1"/>
    <x:row r="28" ht="23" customHeight="1"/>
    <x:row r="29" ht="23" customHeight="1"/>
    <x:row r="30" ht="23" customHeight="1"/>
    <x:row r="31" ht="23" customHeight="1">
      <x:c r="A31" s="169" t="str">
        <x:v>Decision note: potential release is a review queue, not an automatic disposal instruction. Filter SKU Policy by Risk Status, Recommended Order or Potential Release to work the exceptions.</x:v>
      </x:c>
      <x:c r="B31" s="170"/>
      <x:c r="C31" s="170"/>
      <x:c r="D31" s="170"/>
      <x:c r="E31" s="170"/>
      <x:c r="F31" s="170"/>
      <x:c r="G31" s="170"/>
      <x:c r="H31" s="170"/>
      <x:c r="I31" s="170"/>
      <x:c r="J31" s="170"/>
      <x:c r="K31" s="170"/>
      <x:c r="L31" s="171"/>
    </x:row>
    <x:row r="32" ht="23" customHeight="1">
      <x:c r="A32" s="172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4"/>
    </x:row>
    <x:row r="33" ht="23" customHeight="1">
      <x:c r="A33" s="175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7"/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9:L9"/>
    <x:mergeCell ref="A10:D13"/>
    <x:mergeCell ref="E10:H13"/>
    <x:mergeCell ref="I10:L13"/>
    <x:mergeCell ref="A31:L33"/>
  </x:mergeCells>
  <x:pageMargins left="0.7" right="0.7" top="0.75" bottom="0.75" header="0.3" footer="0.3"/>
  <x:drawing xmlns:r="http://schemas.openxmlformats.org/officeDocument/2006/relationships" r:id="R56dcd52e6a844e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3" t="str">
        <x:v>SKU replenishment policy | formulas update from demand and parameters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</x:row>
    <x:row r="4">
      <x:c r="A4" s="9" t="str">
        <x:v>SKU ID</x:v>
      </x:c>
      <x:c r="B4" s="10" t="str">
        <x:v>Product</x:v>
      </x:c>
      <x:c r="C4" s="10" t="str">
        <x:v>Category</x:v>
      </x:c>
      <x:c r="D4" s="10" t="str">
        <x:v>Unit Cost INR</x:v>
      </x:c>
      <x:c r="E4" s="10" t="str">
        <x:v>Lead Time Days</x:v>
      </x:c>
      <x:c r="F4" s="10" t="str">
        <x:v>Order Cost INR</x:v>
      </x:c>
      <x:c r="G4" s="10" t="str">
        <x:v>Annual Demand</x:v>
      </x:c>
      <x:c r="H4" s="10" t="str">
        <x:v>Avg Monthly</x:v>
      </x:c>
      <x:c r="I4" s="10" t="str">
        <x:v>Std Dev</x:v>
      </x:c>
      <x:c r="J4" s="10" t="str">
        <x:v>CV</x:v>
      </x:c>
      <x:c r="K4" s="10" t="str">
        <x:v>Annual Value INR</x:v>
      </x:c>
      <x:c r="L4" s="10" t="str">
        <x:v>Value Share</x:v>
      </x:c>
      <x:c r="M4" s="10" t="str">
        <x:v>Cumulative Share</x:v>
      </x:c>
      <x:c r="N4" s="10" t="str">
        <x:v>ABC</x:v>
      </x:c>
      <x:c r="O4" s="10" t="str">
        <x:v>XYZ</x:v>
      </x:c>
      <x:c r="P4" s="10" t="str">
        <x:v>Service Factor</x:v>
      </x:c>
      <x:c r="Q4" s="10" t="str">
        <x:v>Safety Stock</x:v>
      </x:c>
      <x:c r="R4" s="10" t="str">
        <x:v>Reorder Point</x:v>
      </x:c>
      <x:c r="S4" s="10" t="str">
        <x:v>EOQ</x:v>
      </x:c>
      <x:c r="T4" s="10" t="str">
        <x:v>Current Stock</x:v>
      </x:c>
      <x:c r="U4" s="10" t="str">
        <x:v>On Order</x:v>
      </x:c>
      <x:c r="V4" s="10" t="str">
        <x:v>Inventory Position</x:v>
      </x:c>
      <x:c r="W4" s="10" t="str">
        <x:v>Recommended Order</x:v>
      </x:c>
      <x:c r="X4" s="10" t="str">
        <x:v>Risk Status</x:v>
      </x:c>
      <x:c r="Y4" s="10" t="str">
        <x:v>Excess Units</x:v>
      </x:c>
      <x:c r="Z4" s="10" t="str">
        <x:v>Potential Release INR</x:v>
      </x:c>
      <x:c r="AA4" s="11" t="str">
        <x:v>Inventory Value INR</x:v>
      </x:c>
    </x:row>
    <x:row r="5">
      <x:c r="A5" t="str">
        <x:v>SKU-028</x:v>
      </x:c>
      <x:c r="B5" t="str">
        <x:v>Laundry Powder 1 kg</x:v>
      </x:c>
      <x:c r="C5" t="str">
        <x:v>Home Care</x:v>
      </x:c>
      <x:c r="D5" s="30" t="n">
        <x:v>53.34</x:v>
      </x:c>
      <x:c r="E5" t="n">
        <x:v>14</x:v>
      </x:c>
      <x:c r="F5" s="31" t="n">
        <x:v>1100</x:v>
      </x:c>
      <x:c r="G5" s="32" t="n">
        <x:f>SUM('Demand History'!N5:Y5)</x:f>
        <x:v>24062</x:v>
      </x:c>
      <x:c r="H5" s="32" t="n">
        <x:f>AVERAGE('Demand History'!N5:Y5)</x:f>
        <x:v>2005.1666666666667</x:v>
      </x:c>
      <x:c r="I5" s="32" t="n">
        <x:f>STDEV.S('Demand History'!N5:Y5)</x:f>
        <x:v>187.39158481801167</x:v>
      </x:c>
      <x:c r="J5" s="33" t="n">
        <x:f>IF(H5=0,0,I5/H5)</x:f>
        <x:v>0.09345436862339539</x:v>
      </x:c>
      <x:c r="K5" s="33" t="n">
        <x:f>G5*D5</x:f>
        <x:v>1283467.08</x:v>
      </x:c>
      <x:c r="L5" s="33" t="n">
        <x:f>K5/SUM($K$5:$K$40)</x:f>
        <x:v>0.06955797419414692</x:v>
      </x:c>
      <x:c r="M5" s="33" t="n">
        <x:f>SUM($L$5:L5)</x:f>
        <x:v>0.06955797419414692</x:v>
      </x:c>
      <x:c r="N5" t="str">
        <x:f>IF(M5&lt;='Parameters'!$B$5,"A",IF(M5&lt;='Parameters'!$B$6,"B","C"))</x:f>
        <x:v>A</x:v>
      </x:c>
      <x:c r="O5" t="str">
        <x:f>IF(J5&lt;='Parameters'!$B$8,"X",IF(J5&lt;='Parameters'!$B$9,"Y","Z"))</x:f>
        <x:v>X</x:v>
      </x:c>
      <x:c r="P5" s="13" t="n">
        <x:f>IF(N5="A",'Parameters'!$B$11,IF(N5="B",'Parameters'!$B$12,'Parameters'!$B$13))</x:f>
        <x:v>2.05</x:v>
      </x:c>
      <x:c r="Q5" s="29" t="n">
        <x:f>ROUNDUP(P5*I5*SQRT(E5/'Parameters'!$B$15),0)</x:f>
        <x:v>263</x:v>
      </x:c>
      <x:c r="R5" s="29" t="n">
        <x:f>ROUNDUP(H5*(E5/'Parameters'!$B$15)+Q5,0)</x:f>
        <x:v>1199</x:v>
      </x:c>
      <x:c r="S5" s="29" t="n">
        <x:f>ROUNDUP(SQRT((2*G5*F5)/(D5*'Parameters'!$B$14)),0)</x:f>
        <x:v>2034</x:v>
      </x:c>
      <x:c r="T5" s="29" t="n">
        <x:v>374</x:v>
      </x:c>
      <x:c r="U5" s="29" t="n">
        <x:v>1604</x:v>
      </x:c>
      <x:c r="V5" s="29" t="n">
        <x:f>T5+U5</x:f>
        <x:v>1978</x:v>
      </x:c>
      <x:c r="W5" s="29" t="n">
        <x:f>IF(V5&lt;=R5,MAX(0,ROUNDUP(R5+S5-V5,0)),0)</x:f>
        <x:v>0</x:v>
      </x:c>
      <x:c r="X5" t="str">
        <x:f>IF(T5&lt;H5*(E5/'Parameters'!$B$15),"Stockout risk",IF(V5&lt;=R5,"Reorder now",IF(V5&lt;=R5*1.25,"Monitor","Healthy")))</x:f>
        <x:v>Stockout risk</x:v>
      </x:c>
      <x:c r="Y5" s="29" t="n">
        <x:f>MAX(0,ROUNDDOWN(T5-(Q5+S5),0))</x:f>
        <x:v>0</x:v>
      </x:c>
      <x:c r="Z5" s="31" t="n">
        <x:f>Y5*D5</x:f>
        <x:v>0</x:v>
      </x:c>
      <x:c r="AA5" s="31" t="n">
        <x:f>T5*D5</x:f>
        <x:v>19949.16</x:v>
      </x:c>
    </x:row>
    <x:row r="6">
      <x:c r="A6" t="str">
        <x:v>SKU-029</x:v>
      </x:c>
      <x:c r="B6" t="str">
        <x:v>Dishwash Bar 200 g</x:v>
      </x:c>
      <x:c r="C6" t="str">
        <x:v>Home Care</x:v>
      </x:c>
      <x:c r="D6" s="30" t="n">
        <x:v>58.51</x:v>
      </x:c>
      <x:c r="E6" t="n">
        <x:v>18</x:v>
      </x:c>
      <x:c r="F6" s="31" t="n">
        <x:v>1100</x:v>
      </x:c>
      <x:c r="G6" s="32" t="n">
        <x:f>SUM('Demand History'!N6:Y6)</x:f>
        <x:v>20761</x:v>
      </x:c>
      <x:c r="H6" s="32" t="n">
        <x:f>AVERAGE('Demand History'!N6:Y6)</x:f>
        <x:v>1730.0833333333333</x:v>
      </x:c>
      <x:c r="I6" s="32" t="n">
        <x:f>STDEV.S('Demand History'!N6:Y6)</x:f>
        <x:v>171.9410355237216</x:v>
      </x:c>
      <x:c r="J6" s="33" t="n">
        <x:f>IF(H6=0,0,I6/H6)</x:f>
        <x:v>0.0993830945659968</x:v>
      </x:c>
      <x:c r="K6" s="33" t="n">
        <x:f>G6*D6</x:f>
        <x:v>1214726.1099999999</x:v>
      </x:c>
      <x:c r="L6" s="33" t="n">
        <x:f>K6/SUM($K$5:$K$40)</x:f>
        <x:v>0.06583253184206053</x:v>
      </x:c>
      <x:c r="M6" s="33" t="n">
        <x:f>SUM($L$5:L6)</x:f>
        <x:v>0.13539050603620745</x:v>
      </x:c>
      <x:c r="N6" t="str">
        <x:f>IF(M6&lt;='Parameters'!$B$5,"A",IF(M6&lt;='Parameters'!$B$6,"B","C"))</x:f>
        <x:v>A</x:v>
      </x:c>
      <x:c r="O6" t="str">
        <x:f>IF(J6&lt;='Parameters'!$B$8,"X",IF(J6&lt;='Parameters'!$B$9,"Y","Z"))</x:f>
        <x:v>X</x:v>
      </x:c>
      <x:c r="P6" s="13" t="n">
        <x:f>IF(N6="A",'Parameters'!$B$11,IF(N6="B",'Parameters'!$B$12,'Parameters'!$B$13))</x:f>
        <x:v>2.05</x:v>
      </x:c>
      <x:c r="Q6" s="29" t="n">
        <x:f>ROUNDUP(P6*I6*SQRT(E6/'Parameters'!$B$15),0)</x:f>
        <x:v>274</x:v>
      </x:c>
      <x:c r="R6" s="29" t="n">
        <x:f>ROUNDUP(H6*(E6/'Parameters'!$B$15)+Q6,0)</x:f>
        <x:v>1313</x:v>
      </x:c>
      <x:c r="S6" s="29" t="n">
        <x:f>ROUNDUP(SQRT((2*G6*F6)/(D6*'Parameters'!$B$14)),0)</x:f>
        <x:v>1804</x:v>
      </x:c>
      <x:c r="T6" s="29" t="n">
        <x:v>5882</x:v>
      </x:c>
      <x:c r="U6" s="29" t="n">
        <x:v>0</x:v>
      </x:c>
      <x:c r="V6" s="29" t="n">
        <x:f>T6+U6</x:f>
        <x:v>5882</x:v>
      </x:c>
      <x:c r="W6" s="29" t="n">
        <x:f>IF(V6&lt;=R6,MAX(0,ROUNDUP(R6+S6-V6,0)),0)</x:f>
        <x:v>0</x:v>
      </x:c>
      <x:c r="X6" t="str">
        <x:f>IF(T6&lt;H6*(E6/'Parameters'!$B$15),"Stockout risk",IF(V6&lt;=R6,"Reorder now",IF(V6&lt;=R6*1.25,"Monitor","Healthy")))</x:f>
        <x:v>Healthy</x:v>
      </x:c>
      <x:c r="Y6" s="29" t="n">
        <x:f>MAX(0,ROUNDDOWN(T6-(Q6+S6),0))</x:f>
        <x:v>3804</x:v>
      </x:c>
      <x:c r="Z6" s="31" t="n">
        <x:f>Y6*D6</x:f>
        <x:v>222572.03999999998</x:v>
      </x:c>
      <x:c r="AA6" s="31" t="n">
        <x:f>T6*D6</x:f>
        <x:v>344155.82</x:v>
      </x:c>
    </x:row>
    <x:row r="7">
      <x:c r="A7" t="str">
        <x:v>SKU-030</x:v>
      </x:c>
      <x:c r="B7" t="str">
        <x:v>Floor Cleaner 1 L</x:v>
      </x:c>
      <x:c r="C7" t="str">
        <x:v>Home Care</x:v>
      </x:c>
      <x:c r="D7" s="30" t="n">
        <x:v>63.75</x:v>
      </x:c>
      <x:c r="E7" t="n">
        <x:v>21</x:v>
      </x:c>
      <x:c r="F7" s="31" t="n">
        <x:v>1100</x:v>
      </x:c>
      <x:c r="G7" s="32" t="n">
        <x:f>SUM('Demand History'!N7:Y7)</x:f>
        <x:v>16801</x:v>
      </x:c>
      <x:c r="H7" s="32" t="n">
        <x:f>AVERAGE('Demand History'!N7:Y7)</x:f>
        <x:v>1400.0833333333333</x:v>
      </x:c>
      <x:c r="I7" s="32" t="n">
        <x:f>STDEV.S('Demand History'!N7:Y7)</x:f>
        <x:v>98.97149115076554</x:v>
      </x:c>
      <x:c r="J7" s="33" t="n">
        <x:f>IF(H7=0,0,I7/H7)</x:f>
        <x:v>0.07068971452944388</x:v>
      </x:c>
      <x:c r="K7" s="33" t="n">
        <x:f>G7*D7</x:f>
        <x:v>1071063.75</x:v>
      </x:c>
      <x:c r="L7" s="33" t="n">
        <x:f>K7/SUM($K$5:$K$40)</x:f>
        <x:v>0.05804669698484687</x:v>
      </x:c>
      <x:c r="M7" s="33" t="n">
        <x:f>SUM($L$5:L7)</x:f>
        <x:v>0.19343720302105433</x:v>
      </x:c>
      <x:c r="N7" t="str">
        <x:f>IF(M7&lt;='Parameters'!$B$5,"A",IF(M7&lt;='Parameters'!$B$6,"B","C"))</x:f>
        <x:v>A</x:v>
      </x:c>
      <x:c r="O7" t="str">
        <x:f>IF(J7&lt;='Parameters'!$B$8,"X",IF(J7&lt;='Parameters'!$B$9,"Y","Z"))</x:f>
        <x:v>X</x:v>
      </x:c>
      <x:c r="P7" s="13" t="n">
        <x:f>IF(N7="A",'Parameters'!$B$11,IF(N7="B",'Parameters'!$B$12,'Parameters'!$B$13))</x:f>
        <x:v>2.05</x:v>
      </x:c>
      <x:c r="Q7" s="29" t="n">
        <x:f>ROUNDUP(P7*I7*SQRT(E7/'Parameters'!$B$15),0)</x:f>
        <x:v>170</x:v>
      </x:c>
      <x:c r="R7" s="29" t="n">
        <x:f>ROUNDUP(H7*(E7/'Parameters'!$B$15)+Q7,0)</x:f>
        <x:v>1151</x:v>
      </x:c>
      <x:c r="S7" s="29" t="n">
        <x:f>ROUNDUP(SQRT((2*G7*F7)/(D7*'Parameters'!$B$14)),0)</x:f>
        <x:v>1555</x:v>
      </x:c>
      <x:c r="T7" s="29" t="n">
        <x:v>2100</x:v>
      </x:c>
      <x:c r="U7" s="29" t="n">
        <x:v>0</x:v>
      </x:c>
      <x:c r="V7" s="29" t="n">
        <x:f>T7+U7</x:f>
        <x:v>2100</x:v>
      </x:c>
      <x:c r="W7" s="29" t="n">
        <x:f>IF(V7&lt;=R7,MAX(0,ROUNDUP(R7+S7-V7,0)),0)</x:f>
        <x:v>0</x:v>
      </x:c>
      <x:c r="X7" t="str">
        <x:f>IF(T7&lt;H7*(E7/'Parameters'!$B$15),"Stockout risk",IF(V7&lt;=R7,"Reorder now",IF(V7&lt;=R7*1.25,"Monitor","Healthy")))</x:f>
        <x:v>Healthy</x:v>
      </x:c>
      <x:c r="Y7" s="29" t="n">
        <x:f>MAX(0,ROUNDDOWN(T7-(Q7+S7),0))</x:f>
        <x:v>375</x:v>
      </x:c>
      <x:c r="Z7" s="31" t="n">
        <x:f>Y7*D7</x:f>
        <x:v>23906.25</x:v>
      </x:c>
      <x:c r="AA7" s="31" t="n">
        <x:f>T7*D7</x:f>
        <x:v>133875</x:v>
      </x:c>
    </x:row>
    <x:row r="8">
      <x:c r="A8" t="str">
        <x:v>SKU-019</x:v>
      </x:c>
      <x:c r="B8" t="str">
        <x:v>Daily Shampoo 180 ml</x:v>
      </x:c>
      <x:c r="C8" t="str">
        <x:v>Personal Care</x:v>
      </x:c>
      <x:c r="D8" s="30" t="n">
        <x:v>43.47</x:v>
      </x:c>
      <x:c r="E8" t="n">
        <x:v>10</x:v>
      </x:c>
      <x:c r="F8" s="31" t="n">
        <x:v>950</x:v>
      </x:c>
      <x:c r="G8" s="32" t="n">
        <x:f>SUM('Demand History'!N8:Y8)</x:f>
        <x:v>23996</x:v>
      </x:c>
      <x:c r="H8" s="32" t="n">
        <x:f>AVERAGE('Demand History'!N8:Y8)</x:f>
        <x:v>1999.6666666666667</x:v>
      </x:c>
      <x:c r="I8" s="32" t="n">
        <x:f>STDEV.S('Demand History'!N8:Y8)</x:f>
        <x:v>94.46724620767034</x:v>
      </x:c>
      <x:c r="J8" s="33" t="n">
        <x:f>IF(H8=0,0,I8/H8)</x:f>
        <x:v>0.04724149668661627</x:v>
      </x:c>
      <x:c r="K8" s="33" t="n">
        <x:f>G8*D8</x:f>
        <x:v>1043106.12</x:v>
      </x:c>
      <x:c r="L8" s="33" t="n">
        <x:f>K8/SUM($K$5:$K$40)</x:f>
        <x:v>0.05653152286283549</x:v>
      </x:c>
      <x:c r="M8" s="33" t="n">
        <x:f>SUM($L$5:L8)</x:f>
        <x:v>0.24996872588388983</x:v>
      </x:c>
      <x:c r="N8" t="str">
        <x:f>IF(M8&lt;='Parameters'!$B$5,"A",IF(M8&lt;='Parameters'!$B$6,"B","C"))</x:f>
        <x:v>A</x:v>
      </x:c>
      <x:c r="O8" t="str">
        <x:f>IF(J8&lt;='Parameters'!$B$8,"X",IF(J8&lt;='Parameters'!$B$9,"Y","Z"))</x:f>
        <x:v>X</x:v>
      </x:c>
      <x:c r="P8" s="13" t="n">
        <x:f>IF(N8="A",'Parameters'!$B$11,IF(N8="B",'Parameters'!$B$12,'Parameters'!$B$13))</x:f>
        <x:v>2.05</x:v>
      </x:c>
      <x:c r="Q8" s="29" t="n">
        <x:f>ROUNDUP(P8*I8*SQRT(E8/'Parameters'!$B$15),0)</x:f>
        <x:v>112</x:v>
      </x:c>
      <x:c r="R8" s="29" t="n">
        <x:f>ROUNDUP(H8*(E8/'Parameters'!$B$15)+Q8,0)</x:f>
        <x:v>779</x:v>
      </x:c>
      <x:c r="S8" s="29" t="n">
        <x:f>ROUNDUP(SQRT((2*G8*F8)/(D8*'Parameters'!$B$14)),0)</x:f>
        <x:v>2091</x:v>
      </x:c>
      <x:c r="T8" s="29" t="n">
        <x:v>3666</x:v>
      </x:c>
      <x:c r="U8" s="29" t="n">
        <x:v>0</x:v>
      </x:c>
      <x:c r="V8" s="29" t="n">
        <x:f>T8+U8</x:f>
        <x:v>3666</x:v>
      </x:c>
      <x:c r="W8" s="29" t="n">
        <x:f>IF(V8&lt;=R8,MAX(0,ROUNDUP(R8+S8-V8,0)),0)</x:f>
        <x:v>0</x:v>
      </x:c>
      <x:c r="X8" t="str">
        <x:f>IF(T8&lt;H8*(E8/'Parameters'!$B$15),"Stockout risk",IF(V8&lt;=R8,"Reorder now",IF(V8&lt;=R8*1.25,"Monitor","Healthy")))</x:f>
        <x:v>Healthy</x:v>
      </x:c>
      <x:c r="Y8" s="29" t="n">
        <x:f>MAX(0,ROUNDDOWN(T8-(Q8+S8),0))</x:f>
        <x:v>1463</x:v>
      </x:c>
      <x:c r="Z8" s="31" t="n">
        <x:f>Y8*D8</x:f>
        <x:v>63596.61</x:v>
      </x:c>
      <x:c r="AA8" s="31" t="n">
        <x:f>T8*D8</x:f>
        <x:v>159361.02</x:v>
      </x:c>
    </x:row>
    <x:row r="9">
      <x:c r="A9" t="str">
        <x:v>SKU-031</x:v>
      </x:c>
      <x:c r="B9" t="str">
        <x:v>Toilet Cleaner 500 ml</x:v>
      </x:c>
      <x:c r="C9" t="str">
        <x:v>Home Care</x:v>
      </x:c>
      <x:c r="D9" s="30" t="n">
        <x:v>68.09</x:v>
      </x:c>
      <x:c r="E9" t="n">
        <x:v>5</x:v>
      </x:c>
      <x:c r="F9" s="31" t="n">
        <x:v>1100</x:v>
      </x:c>
      <x:c r="G9" s="32" t="n">
        <x:f>SUM('Demand History'!N9:Y9)</x:f>
        <x:v>13628</x:v>
      </x:c>
      <x:c r="H9" s="32" t="n">
        <x:f>AVERAGE('Demand History'!N9:Y9)</x:f>
        <x:v>1135.6666666666667</x:v>
      </x:c>
      <x:c r="I9" s="32" t="n">
        <x:f>STDEV.S('Demand History'!N9:Y9)</x:f>
        <x:v>55.670023487973445</x:v>
      </x:c>
      <x:c r="J9" s="33" t="n">
        <x:f>IF(H9=0,0,I9/H9)</x:f>
        <x:v>0.049019686076877116</x:v>
      </x:c>
      <x:c r="K9" s="33" t="n">
        <x:f>G9*D9</x:f>
        <x:v>927930.52</x:v>
      </x:c>
      <x:c r="L9" s="33" t="n">
        <x:f>K9/SUM($K$5:$K$40)</x:f>
        <x:v>0.05028953852413677</x:v>
      </x:c>
      <x:c r="M9" s="33" t="n">
        <x:f>SUM($L$5:L9)</x:f>
        <x:v>0.3002582644080266</x:v>
      </x:c>
      <x:c r="N9" t="str">
        <x:f>IF(M9&lt;='Parameters'!$B$5,"A",IF(M9&lt;='Parameters'!$B$6,"B","C"))</x:f>
        <x:v>A</x:v>
      </x:c>
      <x:c r="O9" t="str">
        <x:f>IF(J9&lt;='Parameters'!$B$8,"X",IF(J9&lt;='Parameters'!$B$9,"Y","Z"))</x:f>
        <x:v>X</x:v>
      </x:c>
      <x:c r="P9" s="13" t="n">
        <x:f>IF(N9="A",'Parameters'!$B$11,IF(N9="B",'Parameters'!$B$12,'Parameters'!$B$13))</x:f>
        <x:v>2.05</x:v>
      </x:c>
      <x:c r="Q9" s="29" t="n">
        <x:f>ROUNDUP(P9*I9*SQRT(E9/'Parameters'!$B$15),0)</x:f>
        <x:v>47</x:v>
      </x:c>
      <x:c r="R9" s="29" t="n">
        <x:f>ROUNDUP(H9*(E9/'Parameters'!$B$15)+Q9,0)</x:f>
        <x:v>237</x:v>
      </x:c>
      <x:c r="S9" s="29" t="n">
        <x:f>ROUNDUP(SQRT((2*G9*F9)/(D9*'Parameters'!$B$14)),0)</x:f>
        <x:v>1355</x:v>
      </x:c>
      <x:c r="T9" s="29" t="n">
        <x:v>76</x:v>
      </x:c>
      <x:c r="U9" s="29" t="n">
        <x:v>0</x:v>
      </x:c>
      <x:c r="V9" s="29" t="n">
        <x:f>T9+U9</x:f>
        <x:v>76</x:v>
      </x:c>
      <x:c r="W9" s="29" t="n">
        <x:f>IF(V9&lt;=R9,MAX(0,ROUNDUP(R9+S9-V9,0)),0)</x:f>
        <x:v>1516</x:v>
      </x:c>
      <x:c r="X9" t="str">
        <x:f>IF(T9&lt;H9*(E9/'Parameters'!$B$15),"Stockout risk",IF(V9&lt;=R9,"Reorder now",IF(V9&lt;=R9*1.25,"Monitor","Healthy")))</x:f>
        <x:v>Stockout risk</x:v>
      </x:c>
      <x:c r="Y9" s="29" t="n">
        <x:f>MAX(0,ROUNDDOWN(T9-(Q9+S9),0))</x:f>
        <x:v>0</x:v>
      </x:c>
      <x:c r="Z9" s="31" t="n">
        <x:f>Y9*D9</x:f>
        <x:v>0</x:v>
      </x:c>
      <x:c r="AA9" s="31" t="n">
        <x:f>T9*D9</x:f>
        <x:v>5174.84</x:v>
      </x:c>
    </x:row>
    <x:row r="10">
      <x:c r="A10" t="str">
        <x:v>SKU-020</x:v>
      </x:c>
      <x:c r="B10" t="str">
        <x:v>Herbal Shampoo 180 ml</x:v>
      </x:c>
      <x:c r="C10" t="str">
        <x:v>Personal Care</x:v>
      </x:c>
      <x:c r="D10" s="30" t="n">
        <x:v>45.08</x:v>
      </x:c>
      <x:c r="E10" t="n">
        <x:v>14</x:v>
      </x:c>
      <x:c r="F10" s="31" t="n">
        <x:v>950</x:v>
      </x:c>
      <x:c r="G10" s="32" t="n">
        <x:f>SUM('Demand History'!N10:Y10)</x:f>
        <x:v>20113</x:v>
      </x:c>
      <x:c r="H10" s="32" t="n">
        <x:f>AVERAGE('Demand History'!N10:Y10)</x:f>
        <x:v>1676.0833333333333</x:v>
      </x:c>
      <x:c r="I10" s="32" t="n">
        <x:f>STDEV.S('Demand History'!N10:Y10)</x:f>
        <x:v>117.02715949986165</x:v>
      </x:c>
      <x:c r="J10" s="33" t="n">
        <x:f>IF(H10=0,0,I10/H10)</x:f>
        <x:v>0.06982180251570327</x:v>
      </x:c>
      <x:c r="K10" s="33" t="n">
        <x:f>G10*D10</x:f>
        <x:v>906694.0399999999</x:v>
      </x:c>
      <x:c r="L10" s="33" t="n">
        <x:f>K10/SUM($K$5:$K$40)</x:f>
        <x:v>0.0491386196179701</x:v>
      </x:c>
      <x:c r="M10" s="33" t="n">
        <x:f>SUM($L$5:L10)</x:f>
        <x:v>0.3493968840259967</x:v>
      </x:c>
      <x:c r="N10" t="str">
        <x:f>IF(M10&lt;='Parameters'!$B$5,"A",IF(M10&lt;='Parameters'!$B$6,"B","C"))</x:f>
        <x:v>A</x:v>
      </x:c>
      <x:c r="O10" t="str">
        <x:f>IF(J10&lt;='Parameters'!$B$8,"X",IF(J10&lt;='Parameters'!$B$9,"Y","Z"))</x:f>
        <x:v>X</x:v>
      </x:c>
      <x:c r="P10" s="13" t="n">
        <x:f>IF(N10="A",'Parameters'!$B$11,IF(N10="B",'Parameters'!$B$12,'Parameters'!$B$13))</x:f>
        <x:v>2.05</x:v>
      </x:c>
      <x:c r="Q10" s="29" t="n">
        <x:f>ROUNDUP(P10*I10*SQRT(E10/'Parameters'!$B$15),0)</x:f>
        <x:v>164</x:v>
      </x:c>
      <x:c r="R10" s="29" t="n">
        <x:f>ROUNDUP(H10*(E10/'Parameters'!$B$15)+Q10,0)</x:f>
        <x:v>947</x:v>
      </x:c>
      <x:c r="S10" s="29" t="n">
        <x:f>ROUNDUP(SQRT((2*G10*F10)/(D10*'Parameters'!$B$14)),0)</x:f>
        <x:v>1880</x:v>
      </x:c>
      <x:c r="T10" s="29" t="n">
        <x:v>1285</x:v>
      </x:c>
      <x:c r="U10" s="29" t="n">
        <x:v>0</x:v>
      </x:c>
      <x:c r="V10" s="29" t="n">
        <x:f>T10+U10</x:f>
        <x:v>1285</x:v>
      </x:c>
      <x:c r="W10" s="29" t="n">
        <x:f>IF(V10&lt;=R10,MAX(0,ROUNDUP(R10+S10-V10,0)),0)</x:f>
        <x:v>0</x:v>
      </x:c>
      <x:c r="X10" t="str">
        <x:f>IF(T10&lt;H10*(E10/'Parameters'!$B$15),"Stockout risk",IF(V10&lt;=R10,"Reorder now",IF(V10&lt;=R10*1.25,"Monitor","Healthy")))</x:f>
        <x:v>Healthy</x:v>
      </x:c>
      <x:c r="Y10" s="29" t="n">
        <x:f>MAX(0,ROUNDDOWN(T10-(Q10+S10),0))</x:f>
        <x:v>0</x:v>
      </x:c>
      <x:c r="Z10" s="31" t="n">
        <x:f>Y10*D10</x:f>
        <x:v>0</x:v>
      </x:c>
      <x:c r="AA10" s="31" t="n">
        <x:f>T10*D10</x:f>
        <x:v>57927.799999999996</x:v>
      </x:c>
    </x:row>
    <x:row r="11">
      <x:c r="A11" t="str">
        <x:v>SKU-010</x:v>
      </x:c>
      <x:c r="B11" t="str">
        <x:v>Classic Salted Chips 52 g</x:v>
      </x:c>
      <x:c r="C11" t="str">
        <x:v>Snacks</x:v>
      </x:c>
      <x:c r="D11" s="30" t="n">
        <x:v>31.43</x:v>
      </x:c>
      <x:c r="E11" t="n">
        <x:v>7</x:v>
      </x:c>
      <x:c r="F11" s="31" t="n">
        <x:v>800</x:v>
      </x:c>
      <x:c r="G11" s="32" t="n">
        <x:f>SUM('Demand History'!N11:Y11)</x:f>
        <x:v>25486</x:v>
      </x:c>
      <x:c r="H11" s="32" t="n">
        <x:f>AVERAGE('Demand History'!N11:Y11)</x:f>
        <x:v>2123.8333333333335</x:v>
      </x:c>
      <x:c r="I11" s="32" t="n">
        <x:f>STDEV.S('Demand History'!N11:Y11)</x:f>
        <x:v>269.82480286738695</x:v>
      </x:c>
      <x:c r="J11" s="33" t="n">
        <x:f>IF(H11=0,0,I11/H11)</x:f>
        <x:v>0.12704612863566833</x:v>
      </x:c>
      <x:c r="K11" s="33" t="n">
        <x:f>G11*D11</x:f>
        <x:v>801024.98</x:v>
      </x:c>
      <x:c r="L11" s="33" t="n">
        <x:f>K11/SUM($K$5:$K$40)</x:f>
        <x:v>0.04341184573873686</x:v>
      </x:c>
      <x:c r="M11" s="33" t="n">
        <x:f>SUM($L$5:L11)</x:f>
        <x:v>0.3928087297647336</x:v>
      </x:c>
      <x:c r="N11" t="str">
        <x:f>IF(M11&lt;='Parameters'!$B$5,"A",IF(M11&lt;='Parameters'!$B$6,"B","C"))</x:f>
        <x:v>A</x:v>
      </x:c>
      <x:c r="O11" t="str">
        <x:f>IF(J11&lt;='Parameters'!$B$8,"X",IF(J11&lt;='Parameters'!$B$9,"Y","Z"))</x:f>
        <x:v>X</x:v>
      </x:c>
      <x:c r="P11" s="13" t="n">
        <x:f>IF(N11="A",'Parameters'!$B$11,IF(N11="B",'Parameters'!$B$12,'Parameters'!$B$13))</x:f>
        <x:v>2.05</x:v>
      </x:c>
      <x:c r="Q11" s="29" t="n">
        <x:f>ROUNDUP(P11*I11*SQRT(E11/'Parameters'!$B$15),0)</x:f>
        <x:v>268</x:v>
      </x:c>
      <x:c r="R11" s="29" t="n">
        <x:f>ROUNDUP(H11*(E11/'Parameters'!$B$15)+Q11,0)</x:f>
        <x:v>764</x:v>
      </x:c>
      <x:c r="S11" s="29" t="n">
        <x:f>ROUNDUP(SQRT((2*G11*F11)/(D11*'Parameters'!$B$14)),0)</x:f>
        <x:v>2326</x:v>
      </x:c>
      <x:c r="T11" s="29" t="n">
        <x:v>198</x:v>
      </x:c>
      <x:c r="U11" s="29" t="n">
        <x:v>0</x:v>
      </x:c>
      <x:c r="V11" s="29" t="n">
        <x:f>T11+U11</x:f>
        <x:v>198</x:v>
      </x:c>
      <x:c r="W11" s="29" t="n">
        <x:f>IF(V11&lt;=R11,MAX(0,ROUNDUP(R11+S11-V11,0)),0)</x:f>
        <x:v>2892</x:v>
      </x:c>
      <x:c r="X11" t="str">
        <x:f>IF(T11&lt;H11*(E11/'Parameters'!$B$15),"Stockout risk",IF(V11&lt;=R11,"Reorder now",IF(V11&lt;=R11*1.25,"Monitor","Healthy")))</x:f>
        <x:v>Stockout risk</x:v>
      </x:c>
      <x:c r="Y11" s="29" t="n">
        <x:f>MAX(0,ROUNDDOWN(T11-(Q11+S11),0))</x:f>
        <x:v>0</x:v>
      </x:c>
      <x:c r="Z11" s="31" t="n">
        <x:f>Y11*D11</x:f>
        <x:v>0</x:v>
      </x:c>
      <x:c r="AA11" s="31" t="n">
        <x:f>T11*D11</x:f>
        <x:v>6223.14</x:v>
      </x:c>
    </x:row>
    <x:row r="12">
      <x:c r="A12" t="str">
        <x:v>SKU-021</x:v>
      </x:c>
      <x:c r="B12" t="str">
        <x:v>Bath Soap 100 g</x:v>
      </x:c>
      <x:c r="C12" t="str">
        <x:v>Personal Care</x:v>
      </x:c>
      <x:c r="D12" s="30" t="n">
        <x:v>49.18</x:v>
      </x:c>
      <x:c r="E12" t="n">
        <x:v>18</x:v>
      </x:c>
      <x:c r="F12" s="31" t="n">
        <x:v>950</x:v>
      </x:c>
      <x:c r="G12" s="32" t="n">
        <x:f>SUM('Demand History'!N12:Y12)</x:f>
        <x:v>16191</x:v>
      </x:c>
      <x:c r="H12" s="32" t="n">
        <x:f>AVERAGE('Demand History'!N12:Y12)</x:f>
        <x:v>1349.25</x:v>
      </x:c>
      <x:c r="I12" s="32" t="n">
        <x:f>STDEV.S('Demand History'!N12:Y12)</x:f>
        <x:v>62.006048092101466</x:v>
      </x:c>
      <x:c r="J12" s="33" t="n">
        <x:f>IF(H12=0,0,I12/H12)</x:f>
        <x:v>0.0459559370702994</x:v>
      </x:c>
      <x:c r="K12" s="33" t="n">
        <x:f>G12*D12</x:f>
        <x:v>796273.38</x:v>
      </x:c>
      <x:c r="L12" s="33" t="n">
        <x:f>K12/SUM($K$5:$K$40)</x:f>
        <x:v>0.04315433101527321</x:v>
      </x:c>
      <x:c r="M12" s="33" t="n">
        <x:f>SUM($L$5:L12)</x:f>
        <x:v>0.4359630607800068</x:v>
      </x:c>
      <x:c r="N12" t="str">
        <x:f>IF(M12&lt;='Parameters'!$B$5,"A",IF(M12&lt;='Parameters'!$B$6,"B","C"))</x:f>
        <x:v>A</x:v>
      </x:c>
      <x:c r="O12" t="str">
        <x:f>IF(J12&lt;='Parameters'!$B$8,"X",IF(J12&lt;='Parameters'!$B$9,"Y","Z"))</x:f>
        <x:v>X</x:v>
      </x:c>
      <x:c r="P12" s="13" t="n">
        <x:f>IF(N12="A",'Parameters'!$B$11,IF(N12="B",'Parameters'!$B$12,'Parameters'!$B$13))</x:f>
        <x:v>2.05</x:v>
      </x:c>
      <x:c r="Q12" s="29" t="n">
        <x:f>ROUNDUP(P12*I12*SQRT(E12/'Parameters'!$B$15),0)</x:f>
        <x:v>99</x:v>
      </x:c>
      <x:c r="R12" s="29" t="n">
        <x:f>ROUNDUP(H12*(E12/'Parameters'!$B$15)+Q12,0)</x:f>
        <x:v>909</x:v>
      </x:c>
      <x:c r="S12" s="29" t="n">
        <x:f>ROUNDUP(SQRT((2*G12*F12)/(D12*'Parameters'!$B$14)),0)</x:f>
        <x:v>1615</x:v>
      </x:c>
      <x:c r="T12" s="29" t="n">
        <x:v>6476</x:v>
      </x:c>
      <x:c r="U12" s="29" t="n">
        <x:v>1079</x:v>
      </x:c>
      <x:c r="V12" s="29" t="n">
        <x:f>T12+U12</x:f>
        <x:v>7555</x:v>
      </x:c>
      <x:c r="W12" s="29" t="n">
        <x:f>IF(V12&lt;=R12,MAX(0,ROUNDUP(R12+S12-V12,0)),0)</x:f>
        <x:v>0</x:v>
      </x:c>
      <x:c r="X12" t="str">
        <x:f>IF(T12&lt;H12*(E12/'Parameters'!$B$15),"Stockout risk",IF(V12&lt;=R12,"Reorder now",IF(V12&lt;=R12*1.25,"Monitor","Healthy")))</x:f>
        <x:v>Healthy</x:v>
      </x:c>
      <x:c r="Y12" s="29" t="n">
        <x:f>MAX(0,ROUNDDOWN(T12-(Q12+S12),0))</x:f>
        <x:v>4762</x:v>
      </x:c>
      <x:c r="Z12" s="31" t="n">
        <x:f>Y12*D12</x:f>
        <x:v>234195.16</x:v>
      </x:c>
      <x:c r="AA12" s="31" t="n">
        <x:f>T12*D12</x:f>
        <x:v>318489.68</x:v>
      </x:c>
    </x:row>
    <x:row r="13">
      <x:c r="A13" t="str">
        <x:v>SKU-032</x:v>
      </x:c>
      <x:c r="B13" t="str">
        <x:v>Fabric Conditioner 500 ml</x:v>
      </x:c>
      <x:c r="C13" t="str">
        <x:v>Home Care</x:v>
      </x:c>
      <x:c r="D13" s="30" t="n">
        <x:v>73.82</x:v>
      </x:c>
      <x:c r="E13" t="n">
        <x:v>7</x:v>
      </x:c>
      <x:c r="F13" s="31" t="n">
        <x:v>1100</x:v>
      </x:c>
      <x:c r="G13" s="32" t="n">
        <x:f>SUM('Demand History'!N13:Y13)</x:f>
        <x:v>9959</x:v>
      </x:c>
      <x:c r="H13" s="32" t="n">
        <x:f>AVERAGE('Demand History'!N13:Y13)</x:f>
        <x:v>829.9166666666666</x:v>
      </x:c>
      <x:c r="I13" s="32" t="n">
        <x:f>STDEV.S('Demand History'!N13:Y13)</x:f>
        <x:v>267.4089338051141</x:v>
      </x:c>
      <x:c r="J13" s="33" t="n">
        <x:f>IF(H13=0,0,I13/H13)</x:f>
        <x:v>0.3222117889006295</x:v>
      </x:c>
      <x:c r="K13" s="33" t="n">
        <x:f>G13*D13</x:f>
        <x:v>735173.3799999999</x:v>
      </x:c>
      <x:c r="L13" s="33" t="n">
        <x:f>K13/SUM($K$5:$K$40)</x:f>
        <x:v>0.03984299386491764</x:v>
      </x:c>
      <x:c r="M13" s="33" t="n">
        <x:f>SUM($L$5:L13)</x:f>
        <x:v>0.4758060546449244</x:v>
      </x:c>
      <x:c r="N13" t="str">
        <x:f>IF(M13&lt;='Parameters'!$B$5,"A",IF(M13&lt;='Parameters'!$B$6,"B","C"))</x:f>
        <x:v>A</x:v>
      </x:c>
      <x:c r="O13" t="str">
        <x:f>IF(J13&lt;='Parameters'!$B$8,"X",IF(J13&lt;='Parameters'!$B$9,"Y","Z"))</x:f>
        <x:v>X</x:v>
      </x:c>
      <x:c r="P13" s="13" t="n">
        <x:f>IF(N13="A",'Parameters'!$B$11,IF(N13="B",'Parameters'!$B$12,'Parameters'!$B$13))</x:f>
        <x:v>2.05</x:v>
      </x:c>
      <x:c r="Q13" s="29" t="n">
        <x:f>ROUNDUP(P13*I13*SQRT(E13/'Parameters'!$B$15),0)</x:f>
        <x:v>265</x:v>
      </x:c>
      <x:c r="R13" s="29" t="n">
        <x:f>ROUNDUP(H13*(E13/'Parameters'!$B$15)+Q13,0)</x:f>
        <x:v>459</x:v>
      </x:c>
      <x:c r="S13" s="29" t="n">
        <x:f>ROUNDUP(SQRT((2*G13*F13)/(D13*'Parameters'!$B$14)),0)</x:f>
        <x:v>1113</x:v>
      </x:c>
      <x:c r="T13" s="29" t="n">
        <x:v>2517</x:v>
      </x:c>
      <x:c r="U13" s="29" t="n">
        <x:v>0</x:v>
      </x:c>
      <x:c r="V13" s="29" t="n">
        <x:f>T13+U13</x:f>
        <x:v>2517</x:v>
      </x:c>
      <x:c r="W13" s="29" t="n">
        <x:f>IF(V13&lt;=R13,MAX(0,ROUNDUP(R13+S13-V13,0)),0)</x:f>
        <x:v>0</x:v>
      </x:c>
      <x:c r="X13" t="str">
        <x:f>IF(T13&lt;H13*(E13/'Parameters'!$B$15),"Stockout risk",IF(V13&lt;=R13,"Reorder now",IF(V13&lt;=R13*1.25,"Monitor","Healthy")))</x:f>
        <x:v>Healthy</x:v>
      </x:c>
      <x:c r="Y13" s="29" t="n">
        <x:f>MAX(0,ROUNDDOWN(T13-(Q13+S13),0))</x:f>
        <x:v>1139</x:v>
      </x:c>
      <x:c r="Z13" s="31" t="n">
        <x:f>Y13*D13</x:f>
        <x:v>84080.98</x:v>
      </x:c>
      <x:c r="AA13" s="31" t="n">
        <x:f>T13*D13</x:f>
        <x:v>185804.93999999997</x:v>
      </x:c>
    </x:row>
    <x:row r="14">
      <x:c r="A14" t="str">
        <x:v>SKU-022</x:v>
      </x:c>
      <x:c r="B14" t="str">
        <x:v>Face Wash 100 ml</x:v>
      </x:c>
      <x:c r="C14" t="str">
        <x:v>Personal Care</x:v>
      </x:c>
      <x:c r="D14" s="30" t="n">
        <x:v>56.8</x:v>
      </x:c>
      <x:c r="E14" t="n">
        <x:v>21</x:v>
      </x:c>
      <x:c r="F14" s="31" t="n">
        <x:v>950</x:v>
      </x:c>
      <x:c r="G14" s="32" t="n">
        <x:f>SUM('Demand History'!N14:Y14)</x:f>
        <x:v>12683</x:v>
      </x:c>
      <x:c r="H14" s="32" t="n">
        <x:f>AVERAGE('Demand History'!N14:Y14)</x:f>
        <x:v>1056.9166666666667</x:v>
      </x:c>
      <x:c r="I14" s="32" t="n">
        <x:f>STDEV.S('Demand History'!N14:Y14)</x:f>
        <x:v>98.28942265605494</x:v>
      </x:c>
      <x:c r="J14" s="33" t="n">
        <x:f>IF(H14=0,0,I14/H14)</x:f>
        <x:v>0.09299637876469756</x:v>
      </x:c>
      <x:c r="K14" s="33" t="n">
        <x:f>G14*D14</x:f>
        <x:v>720394.3999999999</x:v>
      </x:c>
      <x:c r="L14" s="33" t="n">
        <x:f>K14/SUM($K$5:$K$40)</x:f>
        <x:v>0.03904204156510811</x:v>
      </x:c>
      <x:c r="M14" s="33" t="n">
        <x:f>SUM($L$5:L14)</x:f>
        <x:v>0.5148480962100326</x:v>
      </x:c>
      <x:c r="N14" t="str">
        <x:f>IF(M14&lt;='Parameters'!$B$5,"A",IF(M14&lt;='Parameters'!$B$6,"B","C"))</x:f>
        <x:v>A</x:v>
      </x:c>
      <x:c r="O14" t="str">
        <x:f>IF(J14&lt;='Parameters'!$B$8,"X",IF(J14&lt;='Parameters'!$B$9,"Y","Z"))</x:f>
        <x:v>X</x:v>
      </x:c>
      <x:c r="P14" s="13" t="n">
        <x:f>IF(N14="A",'Parameters'!$B$11,IF(N14="B",'Parameters'!$B$12,'Parameters'!$B$13))</x:f>
        <x:v>2.05</x:v>
      </x:c>
      <x:c r="Q14" s="29" t="n">
        <x:f>ROUNDUP(P14*I14*SQRT(E14/'Parameters'!$B$15),0)</x:f>
        <x:v>169</x:v>
      </x:c>
      <x:c r="R14" s="29" t="n">
        <x:f>ROUNDUP(H14*(E14/'Parameters'!$B$15)+Q14,0)</x:f>
        <x:v>909</x:v>
      </x:c>
      <x:c r="S14" s="29" t="n">
        <x:f>ROUNDUP(SQRT((2*G14*F14)/(D14*'Parameters'!$B$14)),0)</x:f>
        <x:v>1330</x:v>
      </x:c>
      <x:c r="T14" s="29" t="n">
        <x:v>2325</x:v>
      </x:c>
      <x:c r="U14" s="29" t="n">
        <x:v>0</x:v>
      </x:c>
      <x:c r="V14" s="29" t="n">
        <x:f>T14+U14</x:f>
        <x:v>2325</x:v>
      </x:c>
      <x:c r="W14" s="29" t="n">
        <x:f>IF(V14&lt;=R14,MAX(0,ROUNDUP(R14+S14-V14,0)),0)</x:f>
        <x:v>0</x:v>
      </x:c>
      <x:c r="X14" t="str">
        <x:f>IF(T14&lt;H14*(E14/'Parameters'!$B$15),"Stockout risk",IF(V14&lt;=R14,"Reorder now",IF(V14&lt;=R14*1.25,"Monitor","Healthy")))</x:f>
        <x:v>Healthy</x:v>
      </x:c>
      <x:c r="Y14" s="29" t="n">
        <x:f>MAX(0,ROUNDDOWN(T14-(Q14+S14),0))</x:f>
        <x:v>826</x:v>
      </x:c>
      <x:c r="Z14" s="31" t="n">
        <x:f>Y14*D14</x:f>
        <x:v>46916.799999999996</x:v>
      </x:c>
      <x:c r="AA14" s="31" t="n">
        <x:f>T14*D14</x:f>
        <x:v>132060</x:v>
      </x:c>
    </x:row>
    <x:row r="15">
      <x:c r="A15" t="str">
        <x:v>SKU-011</x:v>
      </x:c>
      <x:c r="B15" t="str">
        <x:v>Masala Chips 52 g</x:v>
      </x:c>
      <x:c r="C15" t="str">
        <x:v>Snacks</x:v>
      </x:c>
      <x:c r="D15" s="30" t="n">
        <x:v>32.7</x:v>
      </x:c>
      <x:c r="E15" t="n">
        <x:v>10</x:v>
      </x:c>
      <x:c r="F15" s="31" t="n">
        <x:v>800</x:v>
      </x:c>
      <x:c r="G15" s="32" t="n">
        <x:f>SUM('Demand History'!N15:Y15)</x:f>
        <x:v>20268</x:v>
      </x:c>
      <x:c r="H15" s="32" t="n">
        <x:f>AVERAGE('Demand History'!N15:Y15)</x:f>
        <x:v>1689</x:v>
      </x:c>
      <x:c r="I15" s="32" t="n">
        <x:f>STDEV.S('Demand History'!N15:Y15)</x:f>
        <x:v>189.12429775150522</x:v>
      </x:c>
      <x:c r="J15" s="33" t="n">
        <x:f>IF(H15=0,0,I15/H15)</x:f>
        <x:v>0.11197412537093264</x:v>
      </x:c>
      <x:c r="K15" s="33" t="n">
        <x:f>G15*D15</x:f>
        <x:v>662763.6000000001</x:v>
      </x:c>
      <x:c r="L15" s="33" t="n">
        <x:f>K15/SUM($K$5:$K$40)</x:f>
        <x:v>0.03591871899481825</x:v>
      </x:c>
      <x:c r="M15" s="33" t="n">
        <x:f>SUM($L$5:L15)</x:f>
        <x:v>0.5507668152048508</x:v>
      </x:c>
      <x:c r="N15" t="str">
        <x:f>IF(M15&lt;='Parameters'!$B$5,"A",IF(M15&lt;='Parameters'!$B$6,"B","C"))</x:f>
        <x:v>A</x:v>
      </x:c>
      <x:c r="O15" t="str">
        <x:f>IF(J15&lt;='Parameters'!$B$8,"X",IF(J15&lt;='Parameters'!$B$9,"Y","Z"))</x:f>
        <x:v>X</x:v>
      </x:c>
      <x:c r="P15" s="13" t="n">
        <x:f>IF(N15="A",'Parameters'!$B$11,IF(N15="B",'Parameters'!$B$12,'Parameters'!$B$13))</x:f>
        <x:v>2.05</x:v>
      </x:c>
      <x:c r="Q15" s="29" t="n">
        <x:f>ROUNDUP(P15*I15*SQRT(E15/'Parameters'!$B$15),0)</x:f>
        <x:v>224</x:v>
      </x:c>
      <x:c r="R15" s="29" t="n">
        <x:f>ROUNDUP(H15*(E15/'Parameters'!$B$15)+Q15,0)</x:f>
        <x:v>787</x:v>
      </x:c>
      <x:c r="S15" s="29" t="n">
        <x:f>ROUNDUP(SQRT((2*G15*F15)/(D15*'Parameters'!$B$14)),0)</x:f>
        <x:v>2033</x:v>
      </x:c>
      <x:c r="T15" s="29" t="n">
        <x:v>5292</x:v>
      </x:c>
      <x:c r="U15" s="29" t="n">
        <x:v>0</x:v>
      </x:c>
      <x:c r="V15" s="29" t="n">
        <x:f>T15+U15</x:f>
        <x:v>5292</x:v>
      </x:c>
      <x:c r="W15" s="29" t="n">
        <x:f>IF(V15&lt;=R15,MAX(0,ROUNDUP(R15+S15-V15,0)),0)</x:f>
        <x:v>0</x:v>
      </x:c>
      <x:c r="X15" t="str">
        <x:f>IF(T15&lt;H15*(E15/'Parameters'!$B$15),"Stockout risk",IF(V15&lt;=R15,"Reorder now",IF(V15&lt;=R15*1.25,"Monitor","Healthy")))</x:f>
        <x:v>Healthy</x:v>
      </x:c>
      <x:c r="Y15" s="29" t="n">
        <x:f>MAX(0,ROUNDDOWN(T15-(Q15+S15),0))</x:f>
        <x:v>3035</x:v>
      </x:c>
      <x:c r="Z15" s="31" t="n">
        <x:f>Y15*D15</x:f>
        <x:v>99244.50000000001</x:v>
      </x:c>
      <x:c r="AA15" s="31" t="n">
        <x:f>T15*D15</x:f>
        <x:v>173048.40000000002</x:v>
      </x:c>
    </x:row>
    <x:row r="16">
      <x:c r="A16" t="str">
        <x:v>SKU-012</x:v>
      </x:c>
      <x:c r="B16" t="str">
        <x:v>Roasted Peanuts 100 g</x:v>
      </x:c>
      <x:c r="C16" t="str">
        <x:v>Snacks</x:v>
      </x:c>
      <x:c r="D16" s="30" t="n">
        <x:v>37.76</x:v>
      </x:c>
      <x:c r="E16" t="n">
        <x:v>14</x:v>
      </x:c>
      <x:c r="F16" s="31" t="n">
        <x:v>800</x:v>
      </x:c>
      <x:c r="G16" s="32" t="n">
        <x:f>SUM('Demand History'!N16:Y16)</x:f>
        <x:v>16266</x:v>
      </x:c>
      <x:c r="H16" s="32" t="n">
        <x:f>AVERAGE('Demand History'!N16:Y16)</x:f>
        <x:v>1355.5</x:v>
      </x:c>
      <x:c r="I16" s="32" t="n">
        <x:f>STDEV.S('Demand History'!N16:Y16)</x:f>
        <x:v>153.5770461068616</x:v>
      </x:c>
      <x:c r="J16" s="33" t="n">
        <x:f>IF(H16=0,0,I16/H16)</x:f>
        <x:v>0.11329918561922656</x:v>
      </x:c>
      <x:c r="K16" s="33" t="n">
        <x:f>G16*D16</x:f>
        <x:v>614204.1599999999</x:v>
      </x:c>
      <x:c r="L16" s="33" t="n">
        <x:f>K16/SUM($K$5:$K$40)</x:f>
        <x:v>0.03328702214256845</x:v>
      </x:c>
      <x:c r="M16" s="33" t="n">
        <x:f>SUM($L$5:L16)</x:f>
        <x:v>0.5840538373474192</x:v>
      </x:c>
      <x:c r="N16" t="str">
        <x:f>IF(M16&lt;='Parameters'!$B$5,"A",IF(M16&lt;='Parameters'!$B$6,"B","C"))</x:f>
        <x:v>A</x:v>
      </x:c>
      <x:c r="O16" t="str">
        <x:f>IF(J16&lt;='Parameters'!$B$8,"X",IF(J16&lt;='Parameters'!$B$9,"Y","Z"))</x:f>
        <x:v>X</x:v>
      </x:c>
      <x:c r="P16" s="13" t="n">
        <x:f>IF(N16="A",'Parameters'!$B$11,IF(N16="B",'Parameters'!$B$12,'Parameters'!$B$13))</x:f>
        <x:v>2.05</x:v>
      </x:c>
      <x:c r="Q16" s="29" t="n">
        <x:f>ROUNDUP(P16*I16*SQRT(E16/'Parameters'!$B$15),0)</x:f>
        <x:v>216</x:v>
      </x:c>
      <x:c r="R16" s="29" t="n">
        <x:f>ROUNDUP(H16*(E16/'Parameters'!$B$15)+Q16,0)</x:f>
        <x:v>849</x:v>
      </x:c>
      <x:c r="S16" s="29" t="n">
        <x:f>ROUNDUP(SQRT((2*G16*F16)/(D16*'Parameters'!$B$14)),0)</x:f>
        <x:v>1695</x:v>
      </x:c>
      <x:c r="T16" s="29" t="n">
        <x:v>1717</x:v>
      </x:c>
      <x:c r="U16" s="29" t="n">
        <x:v>0</x:v>
      </x:c>
      <x:c r="V16" s="29" t="n">
        <x:f>T16+U16</x:f>
        <x:v>1717</x:v>
      </x:c>
      <x:c r="W16" s="29" t="n">
        <x:f>IF(V16&lt;=R16,MAX(0,ROUNDUP(R16+S16-V16,0)),0)</x:f>
        <x:v>0</x:v>
      </x:c>
      <x:c r="X16" t="str">
        <x:f>IF(T16&lt;H16*(E16/'Parameters'!$B$15),"Stockout risk",IF(V16&lt;=R16,"Reorder now",IF(V16&lt;=R16*1.25,"Monitor","Healthy")))</x:f>
        <x:v>Healthy</x:v>
      </x:c>
      <x:c r="Y16" s="29" t="n">
        <x:f>MAX(0,ROUNDDOWN(T16-(Q16+S16),0))</x:f>
        <x:v>0</x:v>
      </x:c>
      <x:c r="Z16" s="31" t="n">
        <x:f>Y16*D16</x:f>
        <x:v>0</x:v>
      </x:c>
      <x:c r="AA16" s="31" t="n">
        <x:f>T16*D16</x:f>
        <x:v>64833.92</x:v>
      </x:c>
    </x:row>
    <x:row r="17">
      <x:c r="A17" t="str">
        <x:v>SKU-013</x:v>
      </x:c>
      <x:c r="B17" t="str">
        <x:v>Cheese Puffs 45 g</x:v>
      </x:c>
      <x:c r="C17" t="str">
        <x:v>Snacks</x:v>
      </x:c>
      <x:c r="D17" s="30" t="n">
        <x:v>42.81</x:v>
      </x:c>
      <x:c r="E17" t="n">
        <x:v>18</x:v>
      </x:c>
      <x:c r="F17" s="31" t="n">
        <x:v>800</x:v>
      </x:c>
      <x:c r="G17" s="32" t="n">
        <x:f>SUM('Demand History'!N17:Y17)</x:f>
        <x:v>13116</x:v>
      </x:c>
      <x:c r="H17" s="32" t="n">
        <x:f>AVERAGE('Demand History'!N17:Y17)</x:f>
        <x:v>1093</x:v>
      </x:c>
      <x:c r="I17" s="32" t="n">
        <x:f>STDEV.S('Demand History'!N17:Y17)</x:f>
        <x:v>113.35142458101465</x:v>
      </x:c>
      <x:c r="J17" s="33" t="n">
        <x:f>IF(H17=0,0,I17/H17)</x:f>
        <x:v>0.10370670135499968</x:v>
      </x:c>
      <x:c r="K17" s="33" t="n">
        <x:f>G17*D17</x:f>
        <x:v>561495.9600000001</x:v>
      </x:c>
      <x:c r="L17" s="33" t="n">
        <x:f>K17/SUM($K$5:$K$40)</x:f>
        <x:v>0.030430481704133584</x:v>
      </x:c>
      <x:c r="M17" s="33" t="n">
        <x:f>SUM($L$5:L17)</x:f>
        <x:v>0.6144843190515528</x:v>
      </x:c>
      <x:c r="N17" t="str">
        <x:f>IF(M17&lt;='Parameters'!$B$5,"A",IF(M17&lt;='Parameters'!$B$6,"B","C"))</x:f>
        <x:v>A</x:v>
      </x:c>
      <x:c r="O17" t="str">
        <x:f>IF(J17&lt;='Parameters'!$B$8,"X",IF(J17&lt;='Parameters'!$B$9,"Y","Z"))</x:f>
        <x:v>X</x:v>
      </x:c>
      <x:c r="P17" s="13" t="n">
        <x:f>IF(N17="A",'Parameters'!$B$11,IF(N17="B",'Parameters'!$B$12,'Parameters'!$B$13))</x:f>
        <x:v>2.05</x:v>
      </x:c>
      <x:c r="Q17" s="29" t="n">
        <x:f>ROUNDUP(P17*I17*SQRT(E17/'Parameters'!$B$15),0)</x:f>
        <x:v>180</x:v>
      </x:c>
      <x:c r="R17" s="29" t="n">
        <x:f>ROUNDUP(H17*(E17/'Parameters'!$B$15)+Q17,0)</x:f>
        <x:v>836</x:v>
      </x:c>
      <x:c r="S17" s="29" t="n">
        <x:f>ROUNDUP(SQRT((2*G17*F17)/(D17*'Parameters'!$B$14)),0)</x:f>
        <x:v>1430</x:v>
      </x:c>
      <x:c r="T17" s="29" t="n">
        <x:v>262</x:v>
      </x:c>
      <x:c r="U17" s="29" t="n">
        <x:v>0</x:v>
      </x:c>
      <x:c r="V17" s="29" t="n">
        <x:f>T17+U17</x:f>
        <x:v>262</x:v>
      </x:c>
      <x:c r="W17" s="29" t="n">
        <x:f>IF(V17&lt;=R17,MAX(0,ROUNDUP(R17+S17-V17,0)),0)</x:f>
        <x:v>2004</x:v>
      </x:c>
      <x:c r="X17" t="str">
        <x:f>IF(T17&lt;H17*(E17/'Parameters'!$B$15),"Stockout risk",IF(V17&lt;=R17,"Reorder now",IF(V17&lt;=R17*1.25,"Monitor","Healthy")))</x:f>
        <x:v>Stockout risk</x:v>
      </x:c>
      <x:c r="Y17" s="29" t="n">
        <x:f>MAX(0,ROUNDDOWN(T17-(Q17+S17),0))</x:f>
        <x:v>0</x:v>
      </x:c>
      <x:c r="Z17" s="31" t="n">
        <x:f>Y17*D17</x:f>
        <x:v>0</x:v>
      </x:c>
      <x:c r="AA17" s="31" t="n">
        <x:f>T17*D17</x:f>
        <x:v>11216.220000000001</x:v>
      </x:c>
    </x:row>
    <x:row r="18">
      <x:c r="A18" t="str">
        <x:v>SKU-033</x:v>
      </x:c>
      <x:c r="B18" t="str">
        <x:v>Surface Spray 500 ml</x:v>
      </x:c>
      <x:c r="C18" t="str">
        <x:v>Home Care</x:v>
      </x:c>
      <x:c r="D18" s="30" t="n">
        <x:v>75.08</x:v>
      </x:c>
      <x:c r="E18" t="n">
        <x:v>10</x:v>
      </x:c>
      <x:c r="F18" s="31" t="n">
        <x:v>1100</x:v>
      </x:c>
      <x:c r="G18" s="32" t="n">
        <x:f>SUM('Demand History'!N18:Y18)</x:f>
        <x:v>6622</x:v>
      </x:c>
      <x:c r="H18" s="32" t="n">
        <x:f>AVERAGE('Demand History'!N18:Y18)</x:f>
        <x:v>551.8333333333334</x:v>
      </x:c>
      <x:c r="I18" s="32" t="n">
        <x:f>STDEV.S('Demand History'!N18:Y18)</x:f>
        <x:v>139.51658965111923</x:v>
      </x:c>
      <x:c r="J18" s="33" t="n">
        <x:f>IF(H18=0,0,I18/H18)</x:f>
        <x:v>0.2528237807027228</x:v>
      </x:c>
      <x:c r="K18" s="33" t="n">
        <x:f>G18*D18</x:f>
        <x:v>497179.76</x:v>
      </x:c>
      <x:c r="L18" s="33" t="n">
        <x:f>K18/SUM($K$5:$K$40)</x:f>
        <x:v>0.026944841402501852</x:v>
      </x:c>
      <x:c r="M18" s="33" t="n">
        <x:f>SUM($L$5:L18)</x:f>
        <x:v>0.6414291604540546</x:v>
      </x:c>
      <x:c r="N18" t="str">
        <x:f>IF(M18&lt;='Parameters'!$B$5,"A",IF(M18&lt;='Parameters'!$B$6,"B","C"))</x:f>
        <x:v>A</x:v>
      </x:c>
      <x:c r="O18" t="str">
        <x:f>IF(J18&lt;='Parameters'!$B$8,"X",IF(J18&lt;='Parameters'!$B$9,"Y","Z"))</x:f>
        <x:v>X</x:v>
      </x:c>
      <x:c r="P18" s="13" t="n">
        <x:f>IF(N18="A",'Parameters'!$B$11,IF(N18="B",'Parameters'!$B$12,'Parameters'!$B$13))</x:f>
        <x:v>2.05</x:v>
      </x:c>
      <x:c r="Q18" s="29" t="n">
        <x:f>ROUNDUP(P18*I18*SQRT(E18/'Parameters'!$B$15),0)</x:f>
        <x:v>166</x:v>
      </x:c>
      <x:c r="R18" s="29" t="n">
        <x:f>ROUNDUP(H18*(E18/'Parameters'!$B$15)+Q18,0)</x:f>
        <x:v>350</x:v>
      </x:c>
      <x:c r="S18" s="29" t="n">
        <x:f>ROUNDUP(SQRT((2*G18*F18)/(D18*'Parameters'!$B$14)),0)</x:f>
        <x:v>900</x:v>
      </x:c>
      <x:c r="T18" s="29" t="n">
        <x:v>625</x:v>
      </x:c>
      <x:c r="U18" s="29" t="n">
        <x:v>0</x:v>
      </x:c>
      <x:c r="V18" s="29" t="n">
        <x:f>T18+U18</x:f>
        <x:v>625</x:v>
      </x:c>
      <x:c r="W18" s="29" t="n">
        <x:f>IF(V18&lt;=R18,MAX(0,ROUNDUP(R18+S18-V18,0)),0)</x:f>
        <x:v>0</x:v>
      </x:c>
      <x:c r="X18" t="str">
        <x:f>IF(T18&lt;H18*(E18/'Parameters'!$B$15),"Stockout risk",IF(V18&lt;=R18,"Reorder now",IF(V18&lt;=R18*1.25,"Monitor","Healthy")))</x:f>
        <x:v>Healthy</x:v>
      </x:c>
      <x:c r="Y18" s="29" t="n">
        <x:f>MAX(0,ROUNDDOWN(T18-(Q18+S18),0))</x:f>
        <x:v>0</x:v>
      </x:c>
      <x:c r="Z18" s="31" t="n">
        <x:f>Y18*D18</x:f>
        <x:v>0</x:v>
      </x:c>
      <x:c r="AA18" s="31" t="n">
        <x:f>T18*D18</x:f>
        <x:v>46925</x:v>
      </x:c>
    </x:row>
    <x:row r="19">
      <x:c r="A19" t="str">
        <x:v>SKU-023</x:v>
      </x:c>
      <x:c r="B19" t="str">
        <x:v>Body Lotion 200 ml</x:v>
      </x:c>
      <x:c r="C19" t="str">
        <x:v>Personal Care</x:v>
      </x:c>
      <x:c r="D19" s="30" t="n">
        <x:v>59.07</x:v>
      </x:c>
      <x:c r="E19" t="n">
        <x:v>5</x:v>
      </x:c>
      <x:c r="F19" s="31" t="n">
        <x:v>950</x:v>
      </x:c>
      <x:c r="G19" s="32" t="n">
        <x:f>SUM('Demand History'!N19:Y19)</x:f>
        <x:v>8326</x:v>
      </x:c>
      <x:c r="H19" s="32" t="n">
        <x:f>AVERAGE('Demand History'!N19:Y19)</x:f>
        <x:v>693.8333333333334</x:v>
      </x:c>
      <x:c r="I19" s="32" t="n">
        <x:f>STDEV.S('Demand History'!N19:Y19)</x:f>
        <x:v>242.68304556779532</x:v>
      </x:c>
      <x:c r="J19" s="33" t="n">
        <x:f>IF(H19=0,0,I19/H19)</x:f>
        <x:v>0.34977138443592887</x:v>
      </x:c>
      <x:c r="K19" s="33" t="n">
        <x:f>G19*D19</x:f>
        <x:v>491816.82</x:v>
      </x:c>
      <x:c r="L19" s="33" t="n">
        <x:f>K19/SUM($K$5:$K$40)</x:f>
        <x:v>0.0266541948811086</x:v>
      </x:c>
      <x:c r="M19" s="33" t="n">
        <x:f>SUM($L$5:L19)</x:f>
        <x:v>0.6680833553351633</x:v>
      </x:c>
      <x:c r="N19" t="str">
        <x:f>IF(M19&lt;='Parameters'!$B$5,"A",IF(M19&lt;='Parameters'!$B$6,"B","C"))</x:f>
        <x:v>A</x:v>
      </x:c>
      <x:c r="O19" t="str">
        <x:f>IF(J19&lt;='Parameters'!$B$8,"X",IF(J19&lt;='Parameters'!$B$9,"Y","Z"))</x:f>
        <x:v>X</x:v>
      </x:c>
      <x:c r="P19" s="13" t="n">
        <x:f>IF(N19="A",'Parameters'!$B$11,IF(N19="B",'Parameters'!$B$12,'Parameters'!$B$13))</x:f>
        <x:v>2.05</x:v>
      </x:c>
      <x:c r="Q19" s="29" t="n">
        <x:f>ROUNDUP(P19*I19*SQRT(E19/'Parameters'!$B$15),0)</x:f>
        <x:v>204</x:v>
      </x:c>
      <x:c r="R19" s="29" t="n">
        <x:f>ROUNDUP(H19*(E19/'Parameters'!$B$15)+Q19,0)</x:f>
        <x:v>320</x:v>
      </x:c>
      <x:c r="S19" s="29" t="n">
        <x:f>ROUNDUP(SQRT((2*G19*F19)/(D19*'Parameters'!$B$14)),0)</x:f>
        <x:v>1057</x:v>
      </x:c>
      <x:c r="T19" s="29" t="n">
        <x:v>324</x:v>
      </x:c>
      <x:c r="U19" s="29" t="n">
        <x:v>0</x:v>
      </x:c>
      <x:c r="V19" s="29" t="n">
        <x:f>T19+U19</x:f>
        <x:v>324</x:v>
      </x:c>
      <x:c r="W19" s="29" t="n">
        <x:f>IF(V19&lt;=R19,MAX(0,ROUNDUP(R19+S19-V19,0)),0)</x:f>
        <x:v>0</x:v>
      </x:c>
      <x:c r="X19" t="str">
        <x:f>IF(T19&lt;H19*(E19/'Parameters'!$B$15),"Stockout risk",IF(V19&lt;=R19,"Reorder now",IF(V19&lt;=R19*1.25,"Monitor","Healthy")))</x:f>
        <x:v>Monitor</x:v>
      </x:c>
      <x:c r="Y19" s="29" t="n">
        <x:f>MAX(0,ROUNDDOWN(T19-(Q19+S19),0))</x:f>
        <x:v>0</x:v>
      </x:c>
      <x:c r="Z19" s="31" t="n">
        <x:f>Y19*D19</x:f>
        <x:v>0</x:v>
      </x:c>
      <x:c r="AA19" s="31" t="n">
        <x:f>T19*D19</x:f>
        <x:v>19138.68</x:v>
      </x:c>
    </x:row>
    <x:row r="20">
      <x:c r="A20" t="str">
        <x:v>SKU-002</x:v>
      </x:c>
      <x:c r="B20" t="str">
        <x:v>Lime Soda 300 ml</x:v>
      </x:c>
      <x:c r="C20" t="str">
        <x:v>Beverages</x:v>
      </x:c>
      <x:c r="D20" s="30" t="n">
        <x:v>23.39</x:v>
      </x:c>
      <x:c r="E20" t="n">
        <x:v>7</x:v>
      </x:c>
      <x:c r="F20" s="31" t="n">
        <x:v>650</x:v>
      </x:c>
      <x:c r="G20" s="32" t="n">
        <x:f>SUM('Demand History'!N20:Y20)</x:f>
        <x:v>20575</x:v>
      </x:c>
      <x:c r="H20" s="32" t="n">
        <x:f>AVERAGE('Demand History'!N20:Y20)</x:f>
        <x:v>1714.5833333333333</x:v>
      </x:c>
      <x:c r="I20" s="32" t="n">
        <x:f>STDEV.S('Demand History'!N20:Y20)</x:f>
        <x:v>221.61533354126482</x:v>
      </x:c>
      <x:c r="J20" s="33" t="n">
        <x:f>IF(H20=0,0,I20/H20)</x:f>
        <x:v>0.12925317144569515</x:v>
      </x:c>
      <x:c r="K20" s="33" t="n">
        <x:f>G20*D20</x:f>
        <x:v>481249.25</x:v>
      </x:c>
      <x:c r="L20" s="33" t="n">
        <x:f>K20/SUM($K$5:$K$40)</x:f>
        <x:v>0.02608148150745912</x:v>
      </x:c>
      <x:c r="M20" s="33" t="n">
        <x:f>SUM($L$5:L20)</x:f>
        <x:v>0.6941648368426224</x:v>
      </x:c>
      <x:c r="N20" t="str">
        <x:f>IF(M20&lt;='Parameters'!$B$5,"A",IF(M20&lt;='Parameters'!$B$6,"B","C"))</x:f>
        <x:v>A</x:v>
      </x:c>
      <x:c r="O20" t="str">
        <x:f>IF(J20&lt;='Parameters'!$B$8,"X",IF(J20&lt;='Parameters'!$B$9,"Y","Z"))</x:f>
        <x:v>X</x:v>
      </x:c>
      <x:c r="P20" s="13" t="n">
        <x:f>IF(N20="A",'Parameters'!$B$11,IF(N20="B",'Parameters'!$B$12,'Parameters'!$B$13))</x:f>
        <x:v>2.05</x:v>
      </x:c>
      <x:c r="Q20" s="29" t="n">
        <x:f>ROUNDUP(P20*I20*SQRT(E20/'Parameters'!$B$15),0)</x:f>
        <x:v>220</x:v>
      </x:c>
      <x:c r="R20" s="29" t="n">
        <x:f>ROUNDUP(H20*(E20/'Parameters'!$B$15)+Q20,0)</x:f>
        <x:v>621</x:v>
      </x:c>
      <x:c r="S20" s="29" t="n">
        <x:f>ROUNDUP(SQRT((2*G20*F20)/(D20*'Parameters'!$B$14)),0)</x:f>
        <x:v>2183</x:v>
      </x:c>
      <x:c r="T20" s="29" t="n">
        <x:v>914</x:v>
      </x:c>
      <x:c r="U20" s="29" t="n">
        <x:v>0</x:v>
      </x:c>
      <x:c r="V20" s="29" t="n">
        <x:f>T20+U20</x:f>
        <x:v>914</x:v>
      </x:c>
      <x:c r="W20" s="29" t="n">
        <x:f>IF(V20&lt;=R20,MAX(0,ROUNDUP(R20+S20-V20,0)),0)</x:f>
        <x:v>0</x:v>
      </x:c>
      <x:c r="X20" t="str">
        <x:f>IF(T20&lt;H20*(E20/'Parameters'!$B$15),"Stockout risk",IF(V20&lt;=R20,"Reorder now",IF(V20&lt;=R20*1.25,"Monitor","Healthy")))</x:f>
        <x:v>Healthy</x:v>
      </x:c>
      <x:c r="Y20" s="29" t="n">
        <x:f>MAX(0,ROUNDDOWN(T20-(Q20+S20),0))</x:f>
        <x:v>0</x:v>
      </x:c>
      <x:c r="Z20" s="31" t="n">
        <x:f>Y20*D20</x:f>
        <x:v>0</x:v>
      </x:c>
      <x:c r="AA20" s="31" t="n">
        <x:f>T20*D20</x:f>
        <x:v>21378.46</x:v>
      </x:c>
    </x:row>
    <x:row r="21">
      <x:c r="A21" t="str">
        <x:v>SKU-014</x:v>
      </x:c>
      <x:c r="B21" t="str">
        <x:v>Oat Cookies 120 g</x:v>
      </x:c>
      <x:c r="C21" t="str">
        <x:v>Snacks</x:v>
      </x:c>
      <x:c r="D21" s="30" t="n">
        <x:v>46.86</x:v>
      </x:c>
      <x:c r="E21" t="n">
        <x:v>21</x:v>
      </x:c>
      <x:c r="F21" s="31" t="n">
        <x:v>800</x:v>
      </x:c>
      <x:c r="G21" s="32" t="n">
        <x:f>SUM('Demand History'!N21:Y21)</x:f>
        <x:v>10007</x:v>
      </x:c>
      <x:c r="H21" s="32" t="n">
        <x:f>AVERAGE('Demand History'!N21:Y21)</x:f>
        <x:v>833.9166666666666</x:v>
      </x:c>
      <x:c r="I21" s="32" t="n">
        <x:f>STDEV.S('Demand History'!N21:Y21)</x:f>
        <x:v>192.59682728120904</x:v>
      </x:c>
      <x:c r="J21" s="33" t="n">
        <x:f>IF(H21=0,0,I21/H21)</x:f>
        <x:v>0.2309545245702517</x:v>
      </x:c>
      <x:c r="K21" s="33" t="n">
        <x:f>G21*D21</x:f>
        <x:v>468928.02</x:v>
      </x:c>
      <x:c r="L21" s="33" t="n">
        <x:f>K21/SUM($K$5:$K$40)</x:f>
        <x:v>0.02541372788001108</x:v>
      </x:c>
      <x:c r="M21" s="33" t="n">
        <x:f>SUM($L$5:L21)</x:f>
        <x:v>0.7195785647226335</x:v>
      </x:c>
      <x:c r="N21" t="str">
        <x:f>IF(M21&lt;='Parameters'!$B$5,"A",IF(M21&lt;='Parameters'!$B$6,"B","C"))</x:f>
        <x:v>A</x:v>
      </x:c>
      <x:c r="O21" t="str">
        <x:f>IF(J21&lt;='Parameters'!$B$8,"X",IF(J21&lt;='Parameters'!$B$9,"Y","Z"))</x:f>
        <x:v>X</x:v>
      </x:c>
      <x:c r="P21" s="13" t="n">
        <x:f>IF(N21="A",'Parameters'!$B$11,IF(N21="B",'Parameters'!$B$12,'Parameters'!$B$13))</x:f>
        <x:v>2.05</x:v>
      </x:c>
      <x:c r="Q21" s="29" t="n">
        <x:f>ROUNDUP(P21*I21*SQRT(E21/'Parameters'!$B$15),0)</x:f>
        <x:v>331</x:v>
      </x:c>
      <x:c r="R21" s="29" t="n">
        <x:f>ROUNDUP(H21*(E21/'Parameters'!$B$15)+Q21,0)</x:f>
        <x:v>915</x:v>
      </x:c>
      <x:c r="S21" s="29" t="n">
        <x:f>ROUNDUP(SQRT((2*G21*F21)/(D21*'Parameters'!$B$14)),0)</x:f>
        <x:v>1194</x:v>
      </x:c>
      <x:c r="T21" s="29" t="n">
        <x:v>2919</x:v>
      </x:c>
      <x:c r="U21" s="29" t="n">
        <x:v>667</x:v>
      </x:c>
      <x:c r="V21" s="29" t="n">
        <x:f>T21+U21</x:f>
        <x:v>3586</x:v>
      </x:c>
      <x:c r="W21" s="29" t="n">
        <x:f>IF(V21&lt;=R21,MAX(0,ROUNDUP(R21+S21-V21,0)),0)</x:f>
        <x:v>0</x:v>
      </x:c>
      <x:c r="X21" t="str">
        <x:f>IF(T21&lt;H21*(E21/'Parameters'!$B$15),"Stockout risk",IF(V21&lt;=R21,"Reorder now",IF(V21&lt;=R21*1.25,"Monitor","Healthy")))</x:f>
        <x:v>Healthy</x:v>
      </x:c>
      <x:c r="Y21" s="29" t="n">
        <x:f>MAX(0,ROUNDDOWN(T21-(Q21+S21),0))</x:f>
        <x:v>1394</x:v>
      </x:c>
      <x:c r="Z21" s="31" t="n">
        <x:f>Y21*D21</x:f>
        <x:v>65322.84</x:v>
      </x:c>
      <x:c r="AA21" s="31" t="n">
        <x:f>T21*D21</x:f>
        <x:v>136784.34</x:v>
      </x:c>
    </x:row>
    <x:row r="22">
      <x:c r="A22" t="str">
        <x:v>SKU-034</x:v>
      </x:c>
      <x:c r="B22" t="str">
        <x:v>Garbage Bags 30 pack</x:v>
      </x:c>
      <x:c r="C22" t="str">
        <x:v>Home Care</x:v>
      </x:c>
      <x:c r="D22" s="30" t="n">
        <x:v>79.38</x:v>
      </x:c>
      <x:c r="E22" t="n">
        <x:v>14</x:v>
      </x:c>
      <x:c r="F22" s="31" t="n">
        <x:v>1100</x:v>
      </x:c>
      <x:c r="G22" s="32" t="n">
        <x:f>SUM('Demand History'!N22:Y22)</x:f>
        <x:v>5830</x:v>
      </x:c>
      <x:c r="H22" s="32" t="n">
        <x:f>AVERAGE('Demand History'!N22:Y22)</x:f>
        <x:v>485.8333333333333</x:v>
      </x:c>
      <x:c r="I22" s="32" t="n">
        <x:f>STDEV.S('Demand History'!N22:Y22)</x:f>
        <x:v>123.15831152207998</x:v>
      </x:c>
      <x:c r="J22" s="33" t="n">
        <x:f>IF(H22=0,0,I22/H22)</x:f>
        <x:v>0.25349909747254884</x:v>
      </x:c>
      <x:c r="K22" s="33" t="n">
        <x:f>G22*D22</x:f>
        <x:v>462785.39999999997</x:v>
      </x:c>
      <x:c r="L22" s="33" t="n">
        <x:f>K22/SUM($K$5:$K$40)</x:f>
        <x:v>0.02508082631198297</x:v>
      </x:c>
      <x:c r="M22" s="33" t="n">
        <x:f>SUM($L$5:L22)</x:f>
        <x:v>0.7446593910346164</x:v>
      </x:c>
      <x:c r="N22" t="str">
        <x:f>IF(M22&lt;='Parameters'!$B$5,"A",IF(M22&lt;='Parameters'!$B$6,"B","C"))</x:f>
        <x:v>A</x:v>
      </x:c>
      <x:c r="O22" t="str">
        <x:f>IF(J22&lt;='Parameters'!$B$8,"X",IF(J22&lt;='Parameters'!$B$9,"Y","Z"))</x:f>
        <x:v>X</x:v>
      </x:c>
      <x:c r="P22" s="13" t="n">
        <x:f>IF(N22="A",'Parameters'!$B$11,IF(N22="B",'Parameters'!$B$12,'Parameters'!$B$13))</x:f>
        <x:v>2.05</x:v>
      </x:c>
      <x:c r="Q22" s="29" t="n">
        <x:f>ROUNDUP(P22*I22*SQRT(E22/'Parameters'!$B$15),0)</x:f>
        <x:v>173</x:v>
      </x:c>
      <x:c r="R22" s="29" t="n">
        <x:f>ROUNDUP(H22*(E22/'Parameters'!$B$15)+Q22,0)</x:f>
        <x:v>400</x:v>
      </x:c>
      <x:c r="S22" s="29" t="n">
        <x:f>ROUNDUP(SQRT((2*G22*F22)/(D22*'Parameters'!$B$14)),0)</x:f>
        <x:v>821</x:v>
      </x:c>
      <x:c r="T22" s="29" t="n">
        <x:v>91</x:v>
      </x:c>
      <x:c r="U22" s="29" t="n">
        <x:v>0</x:v>
      </x:c>
      <x:c r="V22" s="29" t="n">
        <x:f>T22+U22</x:f>
        <x:v>91</x:v>
      </x:c>
      <x:c r="W22" s="29" t="n">
        <x:f>IF(V22&lt;=R22,MAX(0,ROUNDUP(R22+S22-V22,0)),0)</x:f>
        <x:v>1130</x:v>
      </x:c>
      <x:c r="X22" t="str">
        <x:f>IF(T22&lt;H22*(E22/'Parameters'!$B$15),"Stockout risk",IF(V22&lt;=R22,"Reorder now",IF(V22&lt;=R22*1.25,"Monitor","Healthy")))</x:f>
        <x:v>Stockout risk</x:v>
      </x:c>
      <x:c r="Y22" s="29" t="n">
        <x:f>MAX(0,ROUNDDOWN(T22-(Q22+S22),0))</x:f>
        <x:v>0</x:v>
      </x:c>
      <x:c r="Z22" s="31" t="n">
        <x:f>Y22*D22</x:f>
        <x:v>0</x:v>
      </x:c>
      <x:c r="AA22" s="31" t="n">
        <x:f>T22*D22</x:f>
        <x:v>7223.58</x:v>
      </x:c>
    </x:row>
    <x:row r="23">
      <x:c r="A23" t="str">
        <x:v>SKU-024</x:v>
      </x:c>
      <x:c r="B23" t="str">
        <x:v>Toothpaste 150 g</x:v>
      </x:c>
      <x:c r="C23" t="str">
        <x:v>Personal Care</x:v>
      </x:c>
      <x:c r="D23" s="30" t="n">
        <x:v>64.17</x:v>
      </x:c>
      <x:c r="E23" t="n">
        <x:v>7</x:v>
      </x:c>
      <x:c r="F23" s="31" t="n">
        <x:v>950</x:v>
      </x:c>
      <x:c r="G23" s="32" t="n">
        <x:f>SUM('Demand History'!N23:Y23)</x:f>
        <x:v>7066</x:v>
      </x:c>
      <x:c r="H23" s="32" t="n">
        <x:f>AVERAGE('Demand History'!N23:Y23)</x:f>
        <x:v>588.8333333333334</x:v>
      </x:c>
      <x:c r="I23" s="32" t="n">
        <x:f>STDEV.S('Demand History'!N23:Y23)</x:f>
        <x:v>179.92464752745462</x:v>
      </x:c>
      <x:c r="J23" s="33" t="n">
        <x:f>IF(H23=0,0,I23/H23)</x:f>
        <x:v>0.30556124686236275</x:v>
      </x:c>
      <x:c r="K23" s="33" t="n">
        <x:f>G23*D23</x:f>
        <x:v>453425.22000000003</x:v>
      </x:c>
      <x:c r="L23" s="33" t="n">
        <x:f>K23/SUM($K$5:$K$40)</x:f>
        <x:v>0.024573547886974544</x:v>
      </x:c>
      <x:c r="M23" s="33" t="n">
        <x:f>SUM($L$5:L23)</x:f>
        <x:v>0.769232938921591</x:v>
      </x:c>
      <x:c r="N23" t="str">
        <x:f>IF(M23&lt;='Parameters'!$B$5,"A",IF(M23&lt;='Parameters'!$B$6,"B","C"))</x:f>
        <x:v>A</x:v>
      </x:c>
      <x:c r="O23" t="str">
        <x:f>IF(J23&lt;='Parameters'!$B$8,"X",IF(J23&lt;='Parameters'!$B$9,"Y","Z"))</x:f>
        <x:v>X</x:v>
      </x:c>
      <x:c r="P23" s="13" t="n">
        <x:f>IF(N23="A",'Parameters'!$B$11,IF(N23="B",'Parameters'!$B$12,'Parameters'!$B$13))</x:f>
        <x:v>2.05</x:v>
      </x:c>
      <x:c r="Q23" s="29" t="n">
        <x:f>ROUNDUP(P23*I23*SQRT(E23/'Parameters'!$B$15),0)</x:f>
        <x:v>179</x:v>
      </x:c>
      <x:c r="R23" s="29" t="n">
        <x:f>ROUNDUP(H23*(E23/'Parameters'!$B$15)+Q23,0)</x:f>
        <x:v>317</x:v>
      </x:c>
      <x:c r="S23" s="29" t="n">
        <x:f>ROUNDUP(SQRT((2*G23*F23)/(D23*'Parameters'!$B$14)),0)</x:f>
        <x:v>934</x:v>
      </x:c>
      <x:c r="T23" s="29" t="n">
        <x:v>2610</x:v>
      </x:c>
      <x:c r="U23" s="29" t="n">
        <x:v>0</x:v>
      </x:c>
      <x:c r="V23" s="29" t="n">
        <x:f>T23+U23</x:f>
        <x:v>2610</x:v>
      </x:c>
      <x:c r="W23" s="29" t="n">
        <x:f>IF(V23&lt;=R23,MAX(0,ROUNDUP(R23+S23-V23,0)),0)</x:f>
        <x:v>0</x:v>
      </x:c>
      <x:c r="X23" t="str">
        <x:f>IF(T23&lt;H23*(E23/'Parameters'!$B$15),"Stockout risk",IF(V23&lt;=R23,"Reorder now",IF(V23&lt;=R23*1.25,"Monitor","Healthy")))</x:f>
        <x:v>Healthy</x:v>
      </x:c>
      <x:c r="Y23" s="29" t="n">
        <x:f>MAX(0,ROUNDDOWN(T23-(Q23+S23),0))</x:f>
        <x:v>1497</x:v>
      </x:c>
      <x:c r="Z23" s="31" t="n">
        <x:f>Y23*D23</x:f>
        <x:v>96062.49</x:v>
      </x:c>
      <x:c r="AA23" s="31" t="n">
        <x:f>T23*D23</x:f>
        <x:v>167483.7</x:v>
      </x:c>
    </x:row>
    <x:row r="24">
      <x:c r="A24" t="str">
        <x:v>SKU-003</x:v>
      </x:c>
      <x:c r="B24" t="str">
        <x:v>Mango Drink 200 ml</x:v>
      </x:c>
      <x:c r="C24" t="str">
        <x:v>Beverages</x:v>
      </x:c>
      <x:c r="D24" s="30" t="n">
        <x:v>25.76</x:v>
      </x:c>
      <x:c r="E24" t="n">
        <x:v>10</x:v>
      </x:c>
      <x:c r="F24" s="31" t="n">
        <x:v>650</x:v>
      </x:c>
      <x:c r="G24" s="32" t="n">
        <x:f>SUM('Demand History'!N24:Y24)</x:f>
        <x:v>16987</x:v>
      </x:c>
      <x:c r="H24" s="32" t="n">
        <x:f>AVERAGE('Demand History'!N24:Y24)</x:f>
        <x:v>1415.5833333333333</x:v>
      </x:c>
      <x:c r="I24" s="32" t="n">
        <x:f>STDEV.S('Demand History'!N24:Y24)</x:f>
        <x:v>176.31091253461278</x:v>
      </x:c>
      <x:c r="J24" s="33" t="n">
        <x:f>IF(H24=0,0,I24/H24)</x:f>
        <x:v>0.12455000591130591</x:v>
      </x:c>
      <x:c r="K24" s="33" t="n">
        <x:f>G24*D24</x:f>
        <x:v>437585.12000000005</x:v>
      </x:c>
      <x:c r="L24" s="33" t="n">
        <x:f>K24/SUM($K$5:$K$40)</x:f>
        <x:v>0.02371508779539767</x:v>
      </x:c>
      <x:c r="M24" s="33" t="n">
        <x:f>SUM($L$5:L24)</x:f>
        <x:v>0.7929480267169886</x:v>
      </x:c>
      <x:c r="N24" t="str">
        <x:f>IF(M24&lt;='Parameters'!$B$5,"A",IF(M24&lt;='Parameters'!$B$6,"B","C"))</x:f>
        <x:v>A</x:v>
      </x:c>
      <x:c r="O24" t="str">
        <x:f>IF(J24&lt;='Parameters'!$B$8,"X",IF(J24&lt;='Parameters'!$B$9,"Y","Z"))</x:f>
        <x:v>X</x:v>
      </x:c>
      <x:c r="P24" s="13" t="n">
        <x:f>IF(N24="A",'Parameters'!$B$11,IF(N24="B",'Parameters'!$B$12,'Parameters'!$B$13))</x:f>
        <x:v>2.05</x:v>
      </x:c>
      <x:c r="Q24" s="29" t="n">
        <x:f>ROUNDUP(P24*I24*SQRT(E24/'Parameters'!$B$15),0)</x:f>
        <x:v>209</x:v>
      </x:c>
      <x:c r="R24" s="29" t="n">
        <x:f>ROUNDUP(H24*(E24/'Parameters'!$B$15)+Q24,0)</x:f>
        <x:v>681</x:v>
      </x:c>
      <x:c r="S24" s="29" t="n">
        <x:f>ROUNDUP(SQRT((2*G24*F24)/(D24*'Parameters'!$B$14)),0)</x:f>
        <x:v>1890</x:v>
      </x:c>
      <x:c r="T24" s="29" t="n">
        <x:v>6417</x:v>
      </x:c>
      <x:c r="U24" s="29" t="n">
        <x:v>0</x:v>
      </x:c>
      <x:c r="V24" s="29" t="n">
        <x:f>T24+U24</x:f>
        <x:v>6417</x:v>
      </x:c>
      <x:c r="W24" s="29" t="n">
        <x:f>IF(V24&lt;=R24,MAX(0,ROUNDUP(R24+S24-V24,0)),0)</x:f>
        <x:v>0</x:v>
      </x:c>
      <x:c r="X24" t="str">
        <x:f>IF(T24&lt;H24*(E24/'Parameters'!$B$15),"Stockout risk",IF(V24&lt;=R24,"Reorder now",IF(V24&lt;=R24*1.25,"Monitor","Healthy")))</x:f>
        <x:v>Healthy</x:v>
      </x:c>
      <x:c r="Y24" s="29" t="n">
        <x:f>MAX(0,ROUNDDOWN(T24-(Q24+S24),0))</x:f>
        <x:v>4318</x:v>
      </x:c>
      <x:c r="Z24" s="31" t="n">
        <x:f>Y24*D24</x:f>
        <x:v>111231.68000000001</x:v>
      </x:c>
      <x:c r="AA24" s="31" t="n">
        <x:f>T24*D24</x:f>
        <x:v>165301.92</x:v>
      </x:c>
    </x:row>
    <x:row r="25">
      <x:c r="A25" t="str">
        <x:v>SKU-004</x:v>
      </x:c>
      <x:c r="B25" t="str">
        <x:v>Energy Drink 250 ml</x:v>
      </x:c>
      <x:c r="C25" t="str">
        <x:v>Beverages</x:v>
      </x:c>
      <x:c r="D25" s="30" t="n">
        <x:v>31.12</x:v>
      </x:c>
      <x:c r="E25" t="n">
        <x:v>14</x:v>
      </x:c>
      <x:c r="F25" s="31" t="n">
        <x:v>650</x:v>
      </x:c>
      <x:c r="G25" s="32" t="n">
        <x:f>SUM('Demand History'!N25:Y25)</x:f>
        <x:v>13364</x:v>
      </x:c>
      <x:c r="H25" s="32" t="n">
        <x:f>AVERAGE('Demand History'!N25:Y25)</x:f>
        <x:v>1113.6666666666667</x:v>
      </x:c>
      <x:c r="I25" s="32" t="n">
        <x:f>STDEV.S('Demand History'!N25:Y25)</x:f>
        <x:v>154.14239776219517</x:v>
      </x:c>
      <x:c r="J25" s="33" t="n">
        <x:f>IF(H25=0,0,I25/H25)</x:f>
        <x:v>0.13840981541053143</x:v>
      </x:c>
      <x:c r="K25" s="33" t="n">
        <x:f>G25*D25</x:f>
        <x:v>415887.68</x:v>
      </x:c>
      <x:c r="L25" s="33" t="n">
        <x:f>K25/SUM($K$5:$K$40)</x:f>
        <x:v>0.022539186991148718</x:v>
      </x:c>
      <x:c r="M25" s="33" t="n">
        <x:f>SUM($L$5:L25)</x:f>
        <x:v>0.8154872137081374</x:v>
      </x:c>
      <x:c r="N25" t="str">
        <x:f>IF(M25&lt;='Parameters'!$B$5,"A",IF(M25&lt;='Parameters'!$B$6,"B","C"))</x:f>
        <x:v>B</x:v>
      </x:c>
      <x:c r="O25" t="str">
        <x:f>IF(J25&lt;='Parameters'!$B$8,"X",IF(J25&lt;='Parameters'!$B$9,"Y","Z"))</x:f>
        <x:v>X</x:v>
      </x:c>
      <x:c r="P25" s="13" t="n">
        <x:f>IF(N25="A",'Parameters'!$B$11,IF(N25="B",'Parameters'!$B$12,'Parameters'!$B$13))</x:f>
        <x:v>1.65</x:v>
      </x:c>
      <x:c r="Q25" s="29" t="n">
        <x:f>ROUNDUP(P25*I25*SQRT(E25/'Parameters'!$B$15),0)</x:f>
        <x:v>174</x:v>
      </x:c>
      <x:c r="R25" s="29" t="n">
        <x:f>ROUNDUP(H25*(E25/'Parameters'!$B$15)+Q25,0)</x:f>
        <x:v>694</x:v>
      </x:c>
      <x:c r="S25" s="29" t="n">
        <x:f>ROUNDUP(SQRT((2*G25*F25)/(D25*'Parameters'!$B$14)),0)</x:f>
        <x:v>1526</x:v>
      </x:c>
      <x:c r="T25" s="29" t="n">
        <x:v>2190</x:v>
      </x:c>
      <x:c r="U25" s="29" t="n">
        <x:v>0</x:v>
      </x:c>
      <x:c r="V25" s="29" t="n">
        <x:f>T25+U25</x:f>
        <x:v>2190</x:v>
      </x:c>
      <x:c r="W25" s="29" t="n">
        <x:f>IF(V25&lt;=R25,MAX(0,ROUNDUP(R25+S25-V25,0)),0)</x:f>
        <x:v>0</x:v>
      </x:c>
      <x:c r="X25" t="str">
        <x:f>IF(T25&lt;H25*(E25/'Parameters'!$B$15),"Stockout risk",IF(V25&lt;=R25,"Reorder now",IF(V25&lt;=R25*1.25,"Monitor","Healthy")))</x:f>
        <x:v>Healthy</x:v>
      </x:c>
      <x:c r="Y25" s="29" t="n">
        <x:f>MAX(0,ROUNDDOWN(T25-(Q25+S25),0))</x:f>
        <x:v>490</x:v>
      </x:c>
      <x:c r="Z25" s="31" t="n">
        <x:f>Y25*D25</x:f>
        <x:v>15248.800000000001</x:v>
      </x:c>
      <x:c r="AA25" s="31" t="n">
        <x:f>T25*D25</x:f>
        <x:v>68152.8</x:v>
      </x:c>
    </x:row>
    <x:row r="26">
      <x:c r="A26" t="str">
        <x:v>SKU-001</x:v>
      </x:c>
      <x:c r="B26" t="str">
        <x:v>Spark Cola 250 ml</x:v>
      </x:c>
      <x:c r="C26" t="str">
        <x:v>Beverages</x:v>
      </x:c>
      <x:c r="D26" s="30" t="n">
        <x:v>16.52</x:v>
      </x:c>
      <x:c r="E26" t="n">
        <x:v>5</x:v>
      </x:c>
      <x:c r="F26" s="31" t="n">
        <x:v>650</x:v>
      </x:c>
      <x:c r="G26" s="32" t="n">
        <x:f>SUM('Demand History'!N26:Y26)</x:f>
        <x:v>24640</x:v>
      </x:c>
      <x:c r="H26" s="32" t="n">
        <x:f>AVERAGE('Demand History'!N26:Y26)</x:f>
        <x:v>2053.3333333333335</x:v>
      </x:c>
      <x:c r="I26" s="32" t="n">
        <x:f>STDEV.S('Demand History'!N26:Y26)</x:f>
        <x:v>226.99312497932354</x:v>
      </x:c>
      <x:c r="J26" s="33" t="n">
        <x:f>IF(H26=0,0,I26/H26)</x:f>
        <x:v>0.11054859982759263</x:v>
      </x:c>
      <x:c r="K26" s="33" t="n">
        <x:f>G26*D26</x:f>
        <x:v>407052.8</x:v>
      </x:c>
      <x:c r="L26" s="33" t="n">
        <x:f>K26/SUM($K$5:$K$40)</x:f>
        <x:v>0.02206037739437403</x:v>
      </x:c>
      <x:c r="M26" s="33" t="n">
        <x:f>SUM($L$5:L26)</x:f>
        <x:v>0.8375475911025114</x:v>
      </x:c>
      <x:c r="N26" t="str">
        <x:f>IF(M26&lt;='Parameters'!$B$5,"A",IF(M26&lt;='Parameters'!$B$6,"B","C"))</x:f>
        <x:v>B</x:v>
      </x:c>
      <x:c r="O26" t="str">
        <x:f>IF(J26&lt;='Parameters'!$B$8,"X",IF(J26&lt;='Parameters'!$B$9,"Y","Z"))</x:f>
        <x:v>X</x:v>
      </x:c>
      <x:c r="P26" s="13" t="n">
        <x:f>IF(N26="A",'Parameters'!$B$11,IF(N26="B",'Parameters'!$B$12,'Parameters'!$B$13))</x:f>
        <x:v>1.65</x:v>
      </x:c>
      <x:c r="Q26" s="29" t="n">
        <x:f>ROUNDUP(P26*I26*SQRT(E26/'Parameters'!$B$15),0)</x:f>
        <x:v>153</x:v>
      </x:c>
      <x:c r="R26" s="29" t="n">
        <x:f>ROUNDUP(H26*(E26/'Parameters'!$B$15)+Q26,0)</x:f>
        <x:v>496</x:v>
      </x:c>
      <x:c r="S26" s="29" t="n">
        <x:f>ROUNDUP(SQRT((2*G26*F26)/(D26*'Parameters'!$B$14)),0)</x:f>
        <x:v>2843</x:v>
      </x:c>
      <x:c r="T26" s="29" t="n">
        <x:v>3422</x:v>
      </x:c>
      <x:c r="U26" s="29" t="n">
        <x:v>0</x:v>
      </x:c>
      <x:c r="V26" s="29" t="n">
        <x:f>T26+U26</x:f>
        <x:v>3422</x:v>
      </x:c>
      <x:c r="W26" s="29" t="n">
        <x:f>IF(V26&lt;=R26,MAX(0,ROUNDUP(R26+S26-V26,0)),0)</x:f>
        <x:v>0</x:v>
      </x:c>
      <x:c r="X26" t="str">
        <x:f>IF(T26&lt;H26*(E26/'Parameters'!$B$15),"Stockout risk",IF(V26&lt;=R26,"Reorder now",IF(V26&lt;=R26*1.25,"Monitor","Healthy")))</x:f>
        <x:v>Healthy</x:v>
      </x:c>
      <x:c r="Y26" s="29" t="n">
        <x:f>MAX(0,ROUNDDOWN(T26-(Q26+S26),0))</x:f>
        <x:v>426</x:v>
      </x:c>
      <x:c r="Z26" s="31" t="n">
        <x:f>Y26*D26</x:f>
        <x:v>7037.5199999999995</x:v>
      </x:c>
      <x:c r="AA26" s="31" t="n">
        <x:f>T26*D26</x:f>
        <x:v>56531.439999999995</x:v>
      </x:c>
    </x:row>
    <x:row r="27">
      <x:c r="A27" t="str">
        <x:v>SKU-005</x:v>
      </x:c>
      <x:c r="B27" t="str">
        <x:v>Bottled Water 1 L</x:v>
      </x:c>
      <x:c r="C27" t="str">
        <x:v>Beverages</x:v>
      </x:c>
      <x:c r="D27" s="30" t="n">
        <x:v>37.8</x:v>
      </x:c>
      <x:c r="E27" t="n">
        <x:v>18</x:v>
      </x:c>
      <x:c r="F27" s="31" t="n">
        <x:v>650</x:v>
      </x:c>
      <x:c r="G27" s="32" t="n">
        <x:f>SUM('Demand History'!N27:Y27)</x:f>
        <x:v>9672</x:v>
      </x:c>
      <x:c r="H27" s="32" t="n">
        <x:f>AVERAGE('Demand History'!N27:Y27)</x:f>
        <x:v>806</x:v>
      </x:c>
      <x:c r="I27" s="32" t="n">
        <x:f>STDEV.S('Demand History'!N27:Y27)</x:f>
        <x:v>246.59757427104518</x:v>
      </x:c>
      <x:c r="J27" s="33" t="n">
        <x:f>IF(H27=0,0,I27/H27)</x:f>
        <x:v>0.30595232539831907</x:v>
      </x:c>
      <x:c r="K27" s="33" t="n">
        <x:f>G27*D27</x:f>
        <x:v>365601.6</x:v>
      </x:c>
      <x:c r="L27" s="33" t="n">
        <x:f>K27/SUM($K$5:$K$40)</x:f>
        <x:v>0.019813914244016934</x:v>
      </x:c>
      <x:c r="M27" s="33" t="n">
        <x:f>SUM($L$5:L27)</x:f>
        <x:v>0.8573615053465283</x:v>
      </x:c>
      <x:c r="N27" t="str">
        <x:f>IF(M27&lt;='Parameters'!$B$5,"A",IF(M27&lt;='Parameters'!$B$6,"B","C"))</x:f>
        <x:v>B</x:v>
      </x:c>
      <x:c r="O27" t="str">
        <x:f>IF(J27&lt;='Parameters'!$B$8,"X",IF(J27&lt;='Parameters'!$B$9,"Y","Z"))</x:f>
        <x:v>X</x:v>
      </x:c>
      <x:c r="P27" s="13" t="n">
        <x:f>IF(N27="A",'Parameters'!$B$11,IF(N27="B",'Parameters'!$B$12,'Parameters'!$B$13))</x:f>
        <x:v>1.65</x:v>
      </x:c>
      <x:c r="Q27" s="29" t="n">
        <x:f>ROUNDUP(P27*I27*SQRT(E27/'Parameters'!$B$15),0)</x:f>
        <x:v>316</x:v>
      </x:c>
      <x:c r="R27" s="29" t="n">
        <x:f>ROUNDUP(H27*(E27/'Parameters'!$B$15)+Q27,0)</x:f>
        <x:v>800</x:v>
      </x:c>
      <x:c r="S27" s="29" t="n">
        <x:f>ROUNDUP(SQRT((2*G27*F27)/(D27*'Parameters'!$B$14)),0)</x:f>
        <x:v>1178</x:v>
      </x:c>
      <x:c r="T27" s="29" t="n">
        <x:v>725</x:v>
      </x:c>
      <x:c r="U27" s="29" t="n">
        <x:v>0</x:v>
      </x:c>
      <x:c r="V27" s="29" t="n">
        <x:f>T27+U27</x:f>
        <x:v>725</x:v>
      </x:c>
      <x:c r="W27" s="29" t="n">
        <x:f>IF(V27&lt;=R27,MAX(0,ROUNDUP(R27+S27-V27,0)),0)</x:f>
        <x:v>1253</x:v>
      </x:c>
      <x:c r="X27" t="str">
        <x:f>IF(T27&lt;H27*(E27/'Parameters'!$B$15),"Stockout risk",IF(V27&lt;=R27,"Reorder now",IF(V27&lt;=R27*1.25,"Monitor","Healthy")))</x:f>
        <x:v>Reorder now</x:v>
      </x:c>
      <x:c r="Y27" s="29" t="n">
        <x:f>MAX(0,ROUNDDOWN(T27-(Q27+S27),0))</x:f>
        <x:v>0</x:v>
      </x:c>
      <x:c r="Z27" s="31" t="n">
        <x:f>Y27*D27</x:f>
        <x:v>0</x:v>
      </x:c>
      <x:c r="AA27" s="31" t="n">
        <x:f>T27*D27</x:f>
        <x:v>27404.999999999996</x:v>
      </x:c>
    </x:row>
    <x:row r="28">
      <x:c r="A28" t="str">
        <x:v>SKU-015</x:v>
      </x:c>
      <x:c r="B28" t="str">
        <x:v>Chilli Corn Snacks 60 g</x:v>
      </x:c>
      <x:c r="C28" t="str">
        <x:v>Snacks</x:v>
      </x:c>
      <x:c r="D28" s="30" t="n">
        <x:v>53.87</x:v>
      </x:c>
      <x:c r="E28" t="n">
        <x:v>5</x:v>
      </x:c>
      <x:c r="F28" s="31" t="n">
        <x:v>800</x:v>
      </x:c>
      <x:c r="G28" s="32" t="n">
        <x:f>SUM('Demand History'!N28:Y28)</x:f>
        <x:v>5984</x:v>
      </x:c>
      <x:c r="H28" s="32" t="n">
        <x:f>AVERAGE('Demand History'!N28:Y28)</x:f>
        <x:v>498.6666666666667</x:v>
      </x:c>
      <x:c r="I28" s="32" t="n">
        <x:f>STDEV.S('Demand History'!N28:Y28)</x:f>
        <x:v>126.2697929279232</x:v>
      </x:c>
      <x:c r="J28" s="33" t="n">
        <x:f>IF(H28=0,0,I28/H28)</x:f>
        <x:v>0.25321482539022033</x:v>
      </x:c>
      <x:c r="K28" s="33" t="n">
        <x:f>G28*D28</x:f>
        <x:v>322358.07999999996</x:v>
      </x:c>
      <x:c r="L28" s="33" t="n">
        <x:f>K28/SUM($K$5:$K$40)</x:f>
        <x:v>0.017470315646829635</x:v>
      </x:c>
      <x:c r="M28" s="33" t="n">
        <x:f>SUM($L$5:L28)</x:f>
        <x:v>0.874831820993358</x:v>
      </x:c>
      <x:c r="N28" t="str">
        <x:f>IF(M28&lt;='Parameters'!$B$5,"A",IF(M28&lt;='Parameters'!$B$6,"B","C"))</x:f>
        <x:v>B</x:v>
      </x:c>
      <x:c r="O28" t="str">
        <x:f>IF(J28&lt;='Parameters'!$B$8,"X",IF(J28&lt;='Parameters'!$B$9,"Y","Z"))</x:f>
        <x:v>X</x:v>
      </x:c>
      <x:c r="P28" s="13" t="n">
        <x:f>IF(N28="A",'Parameters'!$B$11,IF(N28="B",'Parameters'!$B$12,'Parameters'!$B$13))</x:f>
        <x:v>1.65</x:v>
      </x:c>
      <x:c r="Q28" s="29" t="n">
        <x:f>ROUNDUP(P28*I28*SQRT(E28/'Parameters'!$B$15),0)</x:f>
        <x:v>86</x:v>
      </x:c>
      <x:c r="R28" s="29" t="n">
        <x:f>ROUNDUP(H28*(E28/'Parameters'!$B$15)+Q28,0)</x:f>
        <x:v>170</x:v>
      </x:c>
      <x:c r="S28" s="29" t="n">
        <x:f>ROUNDUP(SQRT((2*G28*F28)/(D28*'Parameters'!$B$14)),0)</x:f>
        <x:v>861</x:v>
      </x:c>
      <x:c r="T28" s="29" t="n">
        <x:v>482</x:v>
      </x:c>
      <x:c r="U28" s="29" t="n">
        <x:v>0</x:v>
      </x:c>
      <x:c r="V28" s="29" t="n">
        <x:f>T28+U28</x:f>
        <x:v>482</x:v>
      </x:c>
      <x:c r="W28" s="29" t="n">
        <x:f>IF(V28&lt;=R28,MAX(0,ROUNDUP(R28+S28-V28,0)),0)</x:f>
        <x:v>0</x:v>
      </x:c>
      <x:c r="X28" t="str">
        <x:f>IF(T28&lt;H28*(E28/'Parameters'!$B$15),"Stockout risk",IF(V28&lt;=R28,"Reorder now",IF(V28&lt;=R28*1.25,"Monitor","Healthy")))</x:f>
        <x:v>Healthy</x:v>
      </x:c>
      <x:c r="Y28" s="29" t="n">
        <x:f>MAX(0,ROUNDDOWN(T28-(Q28+S28),0))</x:f>
        <x:v>0</x:v>
      </x:c>
      <x:c r="Z28" s="31" t="n">
        <x:f>Y28*D28</x:f>
        <x:v>0</x:v>
      </x:c>
      <x:c r="AA28" s="31" t="n">
        <x:f>T28*D28</x:f>
        <x:v>25965.34</x:v>
      </x:c>
    </x:row>
    <x:row r="29">
      <x:c r="A29" t="str">
        <x:v>SKU-025</x:v>
      </x:c>
      <x:c r="B29" t="str">
        <x:v>Deodorant 150 ml</x:v>
      </x:c>
      <x:c r="C29" t="str">
        <x:v>Personal Care</x:v>
      </x:c>
      <x:c r="D29" s="30" t="n">
        <x:v>67.69</x:v>
      </x:c>
      <x:c r="E29" t="n">
        <x:v>10</x:v>
      </x:c>
      <x:c r="F29" s="31" t="n">
        <x:v>950</x:v>
      </x:c>
      <x:c r="G29" s="32" t="n">
        <x:f>SUM('Demand History'!N29:Y29)</x:f>
        <x:v>4348</x:v>
      </x:c>
      <x:c r="H29" s="32" t="n">
        <x:f>AVERAGE('Demand History'!N29:Y29)</x:f>
        <x:v>362.3333333333333</x:v>
      </x:c>
      <x:c r="I29" s="32" t="n">
        <x:f>STDEV.S('Demand History'!N29:Y29)</x:f>
        <x:v>86.96533618039831</x:v>
      </x:c>
      <x:c r="J29" s="33" t="n">
        <x:f>IF(H29=0,0,I29/H29)</x:f>
        <x:v>0.2400147272688086</x:v>
      </x:c>
      <x:c r="K29" s="33" t="n">
        <x:f>G29*D29</x:f>
        <x:v>294316.12</x:v>
      </x:c>
      <x:c r="L29" s="33" t="n">
        <x:f>K29/SUM($K$5:$K$40)</x:f>
        <x:v>0.01595057122920632</x:v>
      </x:c>
      <x:c r="M29" s="33" t="n">
        <x:f>SUM($L$5:L29)</x:f>
        <x:v>0.8907823922225643</x:v>
      </x:c>
      <x:c r="N29" t="str">
        <x:f>IF(M29&lt;='Parameters'!$B$5,"A",IF(M29&lt;='Parameters'!$B$6,"B","C"))</x:f>
        <x:v>B</x:v>
      </x:c>
      <x:c r="O29" t="str">
        <x:f>IF(J29&lt;='Parameters'!$B$8,"X",IF(J29&lt;='Parameters'!$B$9,"Y","Z"))</x:f>
        <x:v>X</x:v>
      </x:c>
      <x:c r="P29" s="13" t="n">
        <x:f>IF(N29="A",'Parameters'!$B$11,IF(N29="B",'Parameters'!$B$12,'Parameters'!$B$13))</x:f>
        <x:v>1.65</x:v>
      </x:c>
      <x:c r="Q29" s="29" t="n">
        <x:f>ROUNDUP(P29*I29*SQRT(E29/'Parameters'!$B$15),0)</x:f>
        <x:v>83</x:v>
      </x:c>
      <x:c r="R29" s="29" t="n">
        <x:f>ROUNDUP(H29*(E29/'Parameters'!$B$15)+Q29,0)</x:f>
        <x:v>204</x:v>
      </x:c>
      <x:c r="S29" s="29" t="n">
        <x:f>ROUNDUP(SQRT((2*G29*F29)/(D29*'Parameters'!$B$14)),0)</x:f>
        <x:v>714</x:v>
      </x:c>
      <x:c r="T29" s="29" t="n">
        <x:v>664</x:v>
      </x:c>
      <x:c r="U29" s="29" t="n">
        <x:v>0</x:v>
      </x:c>
      <x:c r="V29" s="29" t="n">
        <x:f>T29+U29</x:f>
        <x:v>664</x:v>
      </x:c>
      <x:c r="W29" s="29" t="n">
        <x:f>IF(V29&lt;=R29,MAX(0,ROUNDUP(R29+S29-V29,0)),0)</x:f>
        <x:v>0</x:v>
      </x:c>
      <x:c r="X29" t="str">
        <x:f>IF(T29&lt;H29*(E29/'Parameters'!$B$15),"Stockout risk",IF(V29&lt;=R29,"Reorder now",IF(V29&lt;=R29*1.25,"Monitor","Healthy")))</x:f>
        <x:v>Healthy</x:v>
      </x:c>
      <x:c r="Y29" s="29" t="n">
        <x:f>MAX(0,ROUNDDOWN(T29-(Q29+S29),0))</x:f>
        <x:v>0</x:v>
      </x:c>
      <x:c r="Z29" s="31" t="n">
        <x:f>Y29*D29</x:f>
        <x:v>0</x:v>
      </x:c>
      <x:c r="AA29" s="31" t="n">
        <x:f>T29*D29</x:f>
        <x:v>44946.159999999996</x:v>
      </x:c>
    </x:row>
    <x:row r="30">
      <x:c r="A30" t="str">
        <x:v>SKU-006</x:v>
      </x:c>
      <x:c r="B30" t="str">
        <x:v>Iced Tea Lemon 300 ml</x:v>
      </x:c>
      <x:c r="C30" t="str">
        <x:v>Beverages</x:v>
      </x:c>
      <x:c r="D30" s="30" t="n">
        <x:v>38.79</x:v>
      </x:c>
      <x:c r="E30" t="n">
        <x:v>21</x:v>
      </x:c>
      <x:c r="F30" s="31" t="n">
        <x:v>650</x:v>
      </x:c>
      <x:c r="G30" s="32" t="n">
        <x:f>SUM('Demand History'!N30:Y30)</x:f>
        <x:v>7494</x:v>
      </x:c>
      <x:c r="H30" s="32" t="n">
        <x:f>AVERAGE('Demand History'!N30:Y30)</x:f>
        <x:v>624.5</x:v>
      </x:c>
      <x:c r="I30" s="32" t="n">
        <x:f>STDEV.S('Demand History'!N30:Y30)</x:f>
        <x:v>221.21996457660128</x:v>
      </x:c>
      <x:c r="J30" s="33" t="n">
        <x:f>IF(H30=0,0,I30/H30)</x:f>
        <x:v>0.3542353315878323</x:v>
      </x:c>
      <x:c r="K30" s="33" t="n">
        <x:f>G30*D30</x:f>
        <x:v>290692.26</x:v>
      </x:c>
      <x:c r="L30" s="33" t="n">
        <x:f>K30/SUM($K$5:$K$40)</x:f>
        <x:v>0.015754174793106687</x:v>
      </x:c>
      <x:c r="M30" s="33" t="n">
        <x:f>SUM($L$5:L30)</x:f>
        <x:v>0.906536567015671</x:v>
      </x:c>
      <x:c r="N30" t="str">
        <x:f>IF(M30&lt;='Parameters'!$B$5,"A",IF(M30&lt;='Parameters'!$B$6,"B","C"))</x:f>
        <x:v>B</x:v>
      </x:c>
      <x:c r="O30" t="str">
        <x:f>IF(J30&lt;='Parameters'!$B$8,"X",IF(J30&lt;='Parameters'!$B$9,"Y","Z"))</x:f>
        <x:v>X</x:v>
      </x:c>
      <x:c r="P30" s="13" t="n">
        <x:f>IF(N30="A",'Parameters'!$B$11,IF(N30="B",'Parameters'!$B$12,'Parameters'!$B$13))</x:f>
        <x:v>1.65</x:v>
      </x:c>
      <x:c r="Q30" s="29" t="n">
        <x:f>ROUNDUP(P30*I30*SQRT(E30/'Parameters'!$B$15),0)</x:f>
        <x:v>306</x:v>
      </x:c>
      <x:c r="R30" s="29" t="n">
        <x:f>ROUNDUP(H30*(E30/'Parameters'!$B$15)+Q30,0)</x:f>
        <x:v>744</x:v>
      </x:c>
      <x:c r="S30" s="29" t="n">
        <x:f>ROUNDUP(SQRT((2*G30*F30)/(D30*'Parameters'!$B$14)),0)</x:f>
        <x:v>1023</x:v>
      </x:c>
      <x:c r="T30" s="29" t="n">
        <x:v>3060</x:v>
      </x:c>
      <x:c r="U30" s="29" t="n">
        <x:v>0</x:v>
      </x:c>
      <x:c r="V30" s="29" t="n">
        <x:f>T30+U30</x:f>
        <x:v>3060</x:v>
      </x:c>
      <x:c r="W30" s="29" t="n">
        <x:f>IF(V30&lt;=R30,MAX(0,ROUNDUP(R30+S30-V30,0)),0)</x:f>
        <x:v>0</x:v>
      </x:c>
      <x:c r="X30" t="str">
        <x:f>IF(T30&lt;H30*(E30/'Parameters'!$B$15),"Stockout risk",IF(V30&lt;=R30,"Reorder now",IF(V30&lt;=R30*1.25,"Monitor","Healthy")))</x:f>
        <x:v>Healthy</x:v>
      </x:c>
      <x:c r="Y30" s="29" t="n">
        <x:f>MAX(0,ROUNDDOWN(T30-(Q30+S30),0))</x:f>
        <x:v>1731</x:v>
      </x:c>
      <x:c r="Z30" s="31" t="n">
        <x:f>Y30*D30</x:f>
        <x:v>67145.49</x:v>
      </x:c>
      <x:c r="AA30" s="31" t="n">
        <x:f>T30*D30</x:f>
        <x:v>118697.4</x:v>
      </x:c>
    </x:row>
    <x:row r="31">
      <x:c r="A31" t="str">
        <x:v>SKU-026</x:v>
      </x:c>
      <x:c r="B31" t="str">
        <x:v>Hand Wash 250 ml</x:v>
      </x:c>
      <x:c r="C31" t="str">
        <x:v>Personal Care</x:v>
      </x:c>
      <x:c r="D31" s="30" t="n">
        <x:v>75.19</x:v>
      </x:c>
      <x:c r="E31" t="n">
        <x:v>14</x:v>
      </x:c>
      <x:c r="F31" s="31" t="n">
        <x:v>950</x:v>
      </x:c>
      <x:c r="G31" s="32" t="n">
        <x:f>SUM('Demand History'!N31:Y31)</x:f>
        <x:v>3729</x:v>
      </x:c>
      <x:c r="H31" s="32" t="n">
        <x:f>AVERAGE('Demand History'!N31:Y31)</x:f>
        <x:v>310.75</x:v>
      </x:c>
      <x:c r="I31" s="32" t="n">
        <x:f>STDEV.S('Demand History'!N31:Y31)</x:f>
        <x:v>287.30538867838237</x:v>
      </x:c>
      <x:c r="J31" s="33" t="n">
        <x:f>IF(H31=0,0,I31/H31)</x:f>
        <x:v>0.9245547503729119</x:v>
      </x:c>
      <x:c r="K31" s="33" t="n">
        <x:f>G31*D31</x:f>
        <x:v>280383.51</x:v>
      </x:c>
      <x:c r="L31" s="33" t="n">
        <x:f>K31/SUM($K$5:$K$40)</x:f>
        <x:v>0.015195488265304268</x:v>
      </x:c>
      <x:c r="M31" s="33" t="n">
        <x:f>SUM($L$5:L31)</x:f>
        <x:v>0.9217320552809752</x:v>
      </x:c>
      <x:c r="N31" t="str">
        <x:f>IF(M31&lt;='Parameters'!$B$5,"A",IF(M31&lt;='Parameters'!$B$6,"B","C"))</x:f>
        <x:v>B</x:v>
      </x:c>
      <x:c r="O31" t="str">
        <x:f>IF(J31&lt;='Parameters'!$B$8,"X",IF(J31&lt;='Parameters'!$B$9,"Y","Z"))</x:f>
        <x:v>Y</x:v>
      </x:c>
      <x:c r="P31" s="13" t="n">
        <x:f>IF(N31="A",'Parameters'!$B$11,IF(N31="B",'Parameters'!$B$12,'Parameters'!$B$13))</x:f>
        <x:v>1.65</x:v>
      </x:c>
      <x:c r="Q31" s="29" t="n">
        <x:f>ROUNDUP(P31*I31*SQRT(E31/'Parameters'!$B$15),0)</x:f>
        <x:v>324</x:v>
      </x:c>
      <x:c r="R31" s="29" t="n">
        <x:f>ROUNDUP(H31*(E31/'Parameters'!$B$15)+Q31,0)</x:f>
        <x:v>470</x:v>
      </x:c>
      <x:c r="S31" s="29" t="n">
        <x:f>ROUNDUP(SQRT((2*G31*F31)/(D31*'Parameters'!$B$14)),0)</x:f>
        <x:v>627</x:v>
      </x:c>
      <x:c r="T31" s="29" t="n">
        <x:v>238</x:v>
      </x:c>
      <x:c r="U31" s="29" t="n">
        <x:v>0</x:v>
      </x:c>
      <x:c r="V31" s="29" t="n">
        <x:f>T31+U31</x:f>
        <x:v>238</x:v>
      </x:c>
      <x:c r="W31" s="29" t="n">
        <x:f>IF(V31&lt;=R31,MAX(0,ROUNDUP(R31+S31-V31,0)),0)</x:f>
        <x:v>859</x:v>
      </x:c>
      <x:c r="X31" t="str">
        <x:f>IF(T31&lt;H31*(E31/'Parameters'!$B$15),"Stockout risk",IF(V31&lt;=R31,"Reorder now",IF(V31&lt;=R31*1.25,"Monitor","Healthy")))</x:f>
        <x:v>Reorder now</x:v>
      </x:c>
      <x:c r="Y31" s="29" t="n">
        <x:f>MAX(0,ROUNDDOWN(T31-(Q31+S31),0))</x:f>
        <x:v>0</x:v>
      </x:c>
      <x:c r="Z31" s="31" t="n">
        <x:f>Y31*D31</x:f>
        <x:v>0</x:v>
      </x:c>
      <x:c r="AA31" s="31" t="n">
        <x:f>T31*D31</x:f>
        <x:v>17895.22</x:v>
      </x:c>
    </x:row>
    <x:row r="32">
      <x:c r="A32" t="str">
        <x:v>SKU-035</x:v>
      </x:c>
      <x:c r="B32" t="str">
        <x:v>Air Freshener 250 ml</x:v>
      </x:c>
      <x:c r="C32" t="str">
        <x:v>Home Care</x:v>
      </x:c>
      <x:c r="D32" s="30" t="n">
        <x:v>85.86</x:v>
      </x:c>
      <x:c r="E32" t="n">
        <x:v>18</x:v>
      </x:c>
      <x:c r="F32" s="31" t="n">
        <x:v>1100</x:v>
      </x:c>
      <x:c r="G32" s="32" t="n">
        <x:f>SUM('Demand History'!N32:Y32)</x:f>
        <x:v>2987</x:v>
      </x:c>
      <x:c r="H32" s="32" t="n">
        <x:f>AVERAGE('Demand History'!N32:Y32)</x:f>
        <x:v>248.91666666666666</x:v>
      </x:c>
      <x:c r="I32" s="32" t="n">
        <x:f>STDEV.S('Demand History'!N32:Y32)</x:f>
        <x:v>221.25076613460917</x:v>
      </x:c>
      <x:c r="J32" s="33" t="n">
        <x:f>IF(H32=0,0,I32/H32)</x:f>
        <x:v>0.8888547685354236</x:v>
      </x:c>
      <x:c r="K32" s="33" t="n">
        <x:f>G32*D32</x:f>
        <x:v>256463.82</x:v>
      </x:c>
      <x:c r="L32" s="33" t="n">
        <x:f>K32/SUM($K$5:$K$40)</x:f>
        <x:v>0.013899151798495945</x:v>
      </x:c>
      <x:c r="M32" s="33" t="n">
        <x:f>SUM($L$5:L32)</x:f>
        <x:v>0.9356312070794712</x:v>
      </x:c>
      <x:c r="N32" t="str">
        <x:f>IF(M32&lt;='Parameters'!$B$5,"A",IF(M32&lt;='Parameters'!$B$6,"B","C"))</x:f>
        <x:v>B</x:v>
      </x:c>
      <x:c r="O32" t="str">
        <x:f>IF(J32&lt;='Parameters'!$B$8,"X",IF(J32&lt;='Parameters'!$B$9,"Y","Z"))</x:f>
        <x:v>Y</x:v>
      </x:c>
      <x:c r="P32" s="13" t="n">
        <x:f>IF(N32="A",'Parameters'!$B$11,IF(N32="B",'Parameters'!$B$12,'Parameters'!$B$13))</x:f>
        <x:v>1.65</x:v>
      </x:c>
      <x:c r="Q32" s="29" t="n">
        <x:f>ROUNDUP(P32*I32*SQRT(E32/'Parameters'!$B$15),0)</x:f>
        <x:v>283</x:v>
      </x:c>
      <x:c r="R32" s="29" t="n">
        <x:f>ROUNDUP(H32*(E32/'Parameters'!$B$15)+Q32,0)</x:f>
        <x:v>433</x:v>
      </x:c>
      <x:c r="S32" s="29" t="n">
        <x:f>ROUNDUP(SQRT((2*G32*F32)/(D32*'Parameters'!$B$14)),0)</x:f>
        <x:v>565</x:v>
      </x:c>
      <x:c r="T32" s="29" t="n">
        <x:v>846</x:v>
      </x:c>
      <x:c r="U32" s="29" t="n">
        <x:v>199</x:v>
      </x:c>
      <x:c r="V32" s="29" t="n">
        <x:f>T32+U32</x:f>
        <x:v>1045</x:v>
      </x:c>
      <x:c r="W32" s="29" t="n">
        <x:f>IF(V32&lt;=R32,MAX(0,ROUNDUP(R32+S32-V32,0)),0)</x:f>
        <x:v>0</x:v>
      </x:c>
      <x:c r="X32" t="str">
        <x:f>IF(T32&lt;H32*(E32/'Parameters'!$B$15),"Stockout risk",IF(V32&lt;=R32,"Reorder now",IF(V32&lt;=R32*1.25,"Monitor","Healthy")))</x:f>
        <x:v>Healthy</x:v>
      </x:c>
      <x:c r="Y32" s="29" t="n">
        <x:f>MAX(0,ROUNDDOWN(T32-(Q32+S32),0))</x:f>
        <x:v>0</x:v>
      </x:c>
      <x:c r="Z32" s="31" t="n">
        <x:f>Y32*D32</x:f>
        <x:v>0</x:v>
      </x:c>
      <x:c r="AA32" s="31" t="n">
        <x:f>T32*D32</x:f>
        <x:v>72637.56</x:v>
      </x:c>
    </x:row>
    <x:row r="33">
      <x:c r="A33" t="str">
        <x:v>SKU-016</x:v>
      </x:c>
      <x:c r="B33" t="str">
        <x:v>Salted Crackers 100 g</x:v>
      </x:c>
      <x:c r="C33" t="str">
        <x:v>Snacks</x:v>
      </x:c>
      <x:c r="D33" s="30" t="n">
        <x:v>56.33</x:v>
      </x:c>
      <x:c r="E33" t="n">
        <x:v>7</x:v>
      </x:c>
      <x:c r="F33" s="31" t="n">
        <x:v>800</x:v>
      </x:c>
      <x:c r="G33" s="32" t="n">
        <x:f>SUM('Demand History'!N33:Y33)</x:f>
        <x:v>4085</x:v>
      </x:c>
      <x:c r="H33" s="32" t="n">
        <x:f>AVERAGE('Demand History'!N33:Y33)</x:f>
        <x:v>340.4166666666667</x:v>
      </x:c>
      <x:c r="I33" s="32" t="n">
        <x:f>STDEV.S('Demand History'!N33:Y33)</x:f>
        <x:v>149.91055413954098</x:v>
      </x:c>
      <x:c r="J33" s="33" t="n">
        <x:f>IF(H33=0,0,I33/H33)</x:f>
        <x:v>0.44037372085054877</x:v>
      </x:c>
      <x:c r="K33" s="33" t="n">
        <x:f>G33*D33</x:f>
        <x:v>230108.05</x:v>
      </x:c>
      <x:c r="L33" s="33" t="n">
        <x:f>K33/SUM($K$5:$K$40)</x:f>
        <x:v>0.01247079107300942</x:v>
      </x:c>
      <x:c r="M33" s="33" t="n">
        <x:f>SUM($L$5:L33)</x:f>
        <x:v>0.9481019981524806</x:v>
      </x:c>
      <x:c r="N33" t="str">
        <x:f>IF(M33&lt;='Parameters'!$B$5,"A",IF(M33&lt;='Parameters'!$B$6,"B","C"))</x:f>
        <x:v>B</x:v>
      </x:c>
      <x:c r="O33" t="str">
        <x:f>IF(J33&lt;='Parameters'!$B$8,"X",IF(J33&lt;='Parameters'!$B$9,"Y","Z"))</x:f>
        <x:v>X</x:v>
      </x:c>
      <x:c r="P33" s="13" t="n">
        <x:f>IF(N33="A",'Parameters'!$B$11,IF(N33="B",'Parameters'!$B$12,'Parameters'!$B$13))</x:f>
        <x:v>1.65</x:v>
      </x:c>
      <x:c r="Q33" s="29" t="n">
        <x:f>ROUNDUP(P33*I33*SQRT(E33/'Parameters'!$B$15),0)</x:f>
        <x:v>120</x:v>
      </x:c>
      <x:c r="R33" s="29" t="n">
        <x:f>ROUNDUP(H33*(E33/'Parameters'!$B$15)+Q33,0)</x:f>
        <x:v>200</x:v>
      </x:c>
      <x:c r="S33" s="29" t="n">
        <x:f>ROUNDUP(SQRT((2*G33*F33)/(D33*'Parameters'!$B$14)),0)</x:f>
        <x:v>696</x:v>
      </x:c>
      <x:c r="T33" s="29" t="n">
        <x:v>32</x:v>
      </x:c>
      <x:c r="U33" s="29" t="n">
        <x:v>0</x:v>
      </x:c>
      <x:c r="V33" s="29" t="n">
        <x:f>T33+U33</x:f>
        <x:v>32</x:v>
      </x:c>
      <x:c r="W33" s="29" t="n">
        <x:f>IF(V33&lt;=R33,MAX(0,ROUNDUP(R33+S33-V33,0)),0)</x:f>
        <x:v>864</x:v>
      </x:c>
      <x:c r="X33" t="str">
        <x:f>IF(T33&lt;H33*(E33/'Parameters'!$B$15),"Stockout risk",IF(V33&lt;=R33,"Reorder now",IF(V33&lt;=R33*1.25,"Monitor","Healthy")))</x:f>
        <x:v>Stockout risk</x:v>
      </x:c>
      <x:c r="Y33" s="29" t="n">
        <x:f>MAX(0,ROUNDDOWN(T33-(Q33+S33),0))</x:f>
        <x:v>0</x:v>
      </x:c>
      <x:c r="Z33" s="31" t="n">
        <x:f>Y33*D33</x:f>
        <x:v>0</x:v>
      </x:c>
      <x:c r="AA33" s="31" t="n">
        <x:f>T33*D33</x:f>
        <x:v>1802.56</x:v>
      </x:c>
    </x:row>
    <x:row r="34">
      <x:c r="A34" t="str">
        <x:v>SKU-007</x:v>
      </x:c>
      <x:c r="B34" t="str">
        <x:v>Orange Drink 200 ml</x:v>
      </x:c>
      <x:c r="C34" t="str">
        <x:v>Beverages</x:v>
      </x:c>
      <x:c r="D34" s="30" t="n">
        <x:v>44.19</x:v>
      </x:c>
      <x:c r="E34" t="n">
        <x:v>5</x:v>
      </x:c>
      <x:c r="F34" s="31" t="n">
        <x:v>650</x:v>
      </x:c>
      <x:c r="G34" s="32" t="n">
        <x:f>SUM('Demand History'!N34:Y34)</x:f>
        <x:v>4929</x:v>
      </x:c>
      <x:c r="H34" s="32" t="n">
        <x:f>AVERAGE('Demand History'!N34:Y34)</x:f>
        <x:v>410.75</x:v>
      </x:c>
      <x:c r="I34" s="32" t="n">
        <x:f>STDEV.S('Demand History'!N34:Y34)</x:f>
        <x:v>153.8264222486442</x:v>
      </x:c>
      <x:c r="J34" s="33" t="n">
        <x:f>IF(H34=0,0,I34/H34)</x:f>
        <x:v>0.374501332315628</x:v>
      </x:c>
      <x:c r="K34" s="33" t="n">
        <x:f>G34*D34</x:f>
        <x:v>217812.50999999998</x:v>
      </x:c>
      <x:c r="L34" s="33" t="n">
        <x:f>K34/SUM($K$5:$K$40)</x:f>
        <x:v>0.011804429724634904</x:v>
      </x:c>
      <x:c r="M34" s="33" t="n">
        <x:f>SUM($L$5:L34)</x:f>
        <x:v>0.9599064278771156</x:v>
      </x:c>
      <x:c r="N34" t="str">
        <x:f>IF(M34&lt;='Parameters'!$B$5,"A",IF(M34&lt;='Parameters'!$B$6,"B","C"))</x:f>
        <x:v>C</x:v>
      </x:c>
      <x:c r="O34" t="str">
        <x:f>IF(J34&lt;='Parameters'!$B$8,"X",IF(J34&lt;='Parameters'!$B$9,"Y","Z"))</x:f>
        <x:v>X</x:v>
      </x:c>
      <x:c r="P34" s="13" t="n">
        <x:f>IF(N34="A",'Parameters'!$B$11,IF(N34="B",'Parameters'!$B$12,'Parameters'!$B$13))</x:f>
        <x:v>1.28</x:v>
      </x:c>
      <x:c r="Q34" s="29" t="n">
        <x:f>ROUNDUP(P34*I34*SQRT(E34/'Parameters'!$B$15),0)</x:f>
        <x:v>81</x:v>
      </x:c>
      <x:c r="R34" s="29" t="n">
        <x:f>ROUNDUP(H34*(E34/'Parameters'!$B$15)+Q34,0)</x:f>
        <x:v>150</x:v>
      </x:c>
      <x:c r="S34" s="29" t="n">
        <x:f>ROUNDUP(SQRT((2*G34*F34)/(D34*'Parameters'!$B$14)),0)</x:f>
        <x:v>778</x:v>
      </x:c>
      <x:c r="T34" s="29" t="n">
        <x:v>685</x:v>
      </x:c>
      <x:c r="U34" s="29" t="n">
        <x:v>329</x:v>
      </x:c>
      <x:c r="V34" s="29" t="n">
        <x:f>T34+U34</x:f>
        <x:v>1014</x:v>
      </x:c>
      <x:c r="W34" s="29" t="n">
        <x:f>IF(V34&lt;=R34,MAX(0,ROUNDUP(R34+S34-V34,0)),0)</x:f>
        <x:v>0</x:v>
      </x:c>
      <x:c r="X34" t="str">
        <x:f>IF(T34&lt;H34*(E34/'Parameters'!$B$15),"Stockout risk",IF(V34&lt;=R34,"Reorder now",IF(V34&lt;=R34*1.25,"Monitor","Healthy")))</x:f>
        <x:v>Healthy</x:v>
      </x:c>
      <x:c r="Y34" s="29" t="n">
        <x:f>MAX(0,ROUNDDOWN(T34-(Q34+S34),0))</x:f>
        <x:v>0</x:v>
      </x:c>
      <x:c r="Z34" s="31" t="n">
        <x:f>Y34*D34</x:f>
        <x:v>0</x:v>
      </x:c>
      <x:c r="AA34" s="31" t="n">
        <x:f>T34*D34</x:f>
        <x:v>30270.149999999998</x:v>
      </x:c>
    </x:row>
    <x:row r="35">
      <x:c r="A35" t="str">
        <x:v>SKU-008</x:v>
      </x:c>
      <x:c r="B35" t="str">
        <x:v>Coconut Water 200 ml</x:v>
      </x:c>
      <x:c r="C35" t="str">
        <x:v>Beverages</x:v>
      </x:c>
      <x:c r="D35" s="30" t="n">
        <x:v>47.98</x:v>
      </x:c>
      <x:c r="E35" t="n">
        <x:v>7</x:v>
      </x:c>
      <x:c r="F35" s="31" t="n">
        <x:v>650</x:v>
      </x:c>
      <x:c r="G35" s="32" t="n">
        <x:f>SUM('Demand History'!N35:Y35)</x:f>
        <x:v>3077</x:v>
      </x:c>
      <x:c r="H35" s="32" t="n">
        <x:f>AVERAGE('Demand History'!N35:Y35)</x:f>
        <x:v>256.4166666666667</x:v>
      </x:c>
      <x:c r="I35" s="32" t="n">
        <x:f>STDEV.S('Demand History'!N35:Y35)</x:f>
        <x:v>396.79224202765516</x:v>
      </x:c>
      <x:c r="J35" s="33" t="n">
        <x:f>IF(H35=0,0,I35/H35)</x:f>
        <x:v>1.5474510576314142</x:v>
      </x:c>
      <x:c r="K35" s="33" t="n">
        <x:f>G35*D35</x:f>
        <x:v>147634.46</x:v>
      </x:c>
      <x:c r="L35" s="33" t="n">
        <x:f>K35/SUM($K$5:$K$40)</x:f>
        <x:v>0.008001104289209205</x:v>
      </x:c>
      <x:c r="M35" s="33" t="n">
        <x:f>SUM($L$5:L35)</x:f>
        <x:v>0.9679075321663247</x:v>
      </x:c>
      <x:c r="N35" t="str">
        <x:f>IF(M35&lt;='Parameters'!$B$5,"A",IF(M35&lt;='Parameters'!$B$6,"B","C"))</x:f>
        <x:v>C</x:v>
      </x:c>
      <x:c r="O35" t="str">
        <x:f>IF(J35&lt;='Parameters'!$B$8,"X",IF(J35&lt;='Parameters'!$B$9,"Y","Z"))</x:f>
        <x:v>Z</x:v>
      </x:c>
      <x:c r="P35" s="13" t="n">
        <x:f>IF(N35="A",'Parameters'!$B$11,IF(N35="B",'Parameters'!$B$12,'Parameters'!$B$13))</x:f>
        <x:v>1.28</x:v>
      </x:c>
      <x:c r="Q35" s="29" t="n">
        <x:f>ROUNDUP(P35*I35*SQRT(E35/'Parameters'!$B$15),0)</x:f>
        <x:v>246</x:v>
      </x:c>
      <x:c r="R35" s="29" t="n">
        <x:f>ROUNDUP(H35*(E35/'Parameters'!$B$15)+Q35,0)</x:f>
        <x:v>306</x:v>
      </x:c>
      <x:c r="S35" s="29" t="n">
        <x:f>ROUNDUP(SQRT((2*G35*F35)/(D35*'Parameters'!$B$14)),0)</x:f>
        <x:v>590</x:v>
      </x:c>
      <x:c r="T35" s="29" t="n">
        <x:v>137</x:v>
      </x:c>
      <x:c r="U35" s="29" t="n">
        <x:v>0</x:v>
      </x:c>
      <x:c r="V35" s="29" t="n">
        <x:f>T35+U35</x:f>
        <x:v>137</x:v>
      </x:c>
      <x:c r="W35" s="29" t="n">
        <x:f>IF(V35&lt;=R35,MAX(0,ROUNDUP(R35+S35-V35,0)),0)</x:f>
        <x:v>759</x:v>
      </x:c>
      <x:c r="X35" t="str">
        <x:f>IF(T35&lt;H35*(E35/'Parameters'!$B$15),"Stockout risk",IF(V35&lt;=R35,"Reorder now",IF(V35&lt;=R35*1.25,"Monitor","Healthy")))</x:f>
        <x:v>Reorder now</x:v>
      </x:c>
      <x:c r="Y35" s="29" t="n">
        <x:f>MAX(0,ROUNDDOWN(T35-(Q35+S35),0))</x:f>
        <x:v>0</x:v>
      </x:c>
      <x:c r="Z35" s="31" t="n">
        <x:f>Y35*D35</x:f>
        <x:v>0</x:v>
      </x:c>
      <x:c r="AA35" s="31" t="n">
        <x:f>T35*D35</x:f>
        <x:v>6573.259999999999</x:v>
      </x:c>
    </x:row>
    <x:row r="36">
      <x:c r="A36" t="str">
        <x:v>SKU-036</x:v>
      </x:c>
      <x:c r="B36" t="str">
        <x:v>Kitchen Towels 2 roll</x:v>
      </x:c>
      <x:c r="C36" t="str">
        <x:v>Home Care</x:v>
      </x:c>
      <x:c r="D36" s="30" t="n">
        <x:v>89.45</x:v>
      </x:c>
      <x:c r="E36" t="n">
        <x:v>21</x:v>
      </x:c>
      <x:c r="F36" s="31" t="n">
        <x:v>1100</x:v>
      </x:c>
      <x:c r="G36" s="32" t="n">
        <x:f>SUM('Demand History'!N36:Y36)</x:f>
        <x:v>1649</x:v>
      </x:c>
      <x:c r="H36" s="32" t="n">
        <x:f>AVERAGE('Demand History'!N36:Y36)</x:f>
        <x:v>137.41666666666666</x:v>
      </x:c>
      <x:c r="I36" s="32" t="n">
        <x:f>STDEV.S('Demand History'!N36:Y36)</x:f>
        <x:v>84.64413026240382</x:v>
      </x:c>
      <x:c r="J36" s="33" t="n">
        <x:f>IF(H36=0,0,I36/H36)</x:f>
        <x:v>0.6159669879617016</x:v>
      </x:c>
      <x:c r="K36" s="33" t="n">
        <x:f>G36*D36</x:f>
        <x:v>147503.05000000002</x:v>
      </x:c>
      <x:c r="L36" s="33" t="n">
        <x:f>K36/SUM($K$5:$K$40)</x:f>
        <x:v>0.00799398247554426</x:v>
      </x:c>
      <x:c r="M36" s="33" t="n">
        <x:f>SUM($L$5:L36)</x:f>
        <x:v>0.975901514641869</x:v>
      </x:c>
      <x:c r="N36" t="str">
        <x:f>IF(M36&lt;='Parameters'!$B$5,"A",IF(M36&lt;='Parameters'!$B$6,"B","C"))</x:f>
        <x:v>C</x:v>
      </x:c>
      <x:c r="O36" t="str">
        <x:f>IF(J36&lt;='Parameters'!$B$8,"X",IF(J36&lt;='Parameters'!$B$9,"Y","Z"))</x:f>
        <x:v>Y</x:v>
      </x:c>
      <x:c r="P36" s="13" t="n">
        <x:f>IF(N36="A",'Parameters'!$B$11,IF(N36="B",'Parameters'!$B$12,'Parameters'!$B$13))</x:f>
        <x:v>1.28</x:v>
      </x:c>
      <x:c r="Q36" s="29" t="n">
        <x:f>ROUNDUP(P36*I36*SQRT(E36/'Parameters'!$B$15),0)</x:f>
        <x:v>91</x:v>
      </x:c>
      <x:c r="R36" s="29" t="n">
        <x:f>ROUNDUP(H36*(E36/'Parameters'!$B$15)+Q36,0)</x:f>
        <x:v>188</x:v>
      </x:c>
      <x:c r="S36" s="29" t="n">
        <x:f>ROUNDUP(SQRT((2*G36*F36)/(D36*'Parameters'!$B$14)),0)</x:f>
        <x:v>412</x:v>
      </x:c>
      <x:c r="T36" s="29" t="n">
        <x:v>206</x:v>
      </x:c>
      <x:c r="U36" s="29" t="n">
        <x:v>0</x:v>
      </x:c>
      <x:c r="V36" s="29" t="n">
        <x:f>T36+U36</x:f>
        <x:v>206</x:v>
      </x:c>
      <x:c r="W36" s="29" t="n">
        <x:f>IF(V36&lt;=R36,MAX(0,ROUNDUP(R36+S36-V36,0)),0)</x:f>
        <x:v>0</x:v>
      </x:c>
      <x:c r="X36" t="str">
        <x:f>IF(T36&lt;H36*(E36/'Parameters'!$B$15),"Stockout risk",IF(V36&lt;=R36,"Reorder now",IF(V36&lt;=R36*1.25,"Monitor","Healthy")))</x:f>
        <x:v>Monitor</x:v>
      </x:c>
      <x:c r="Y36" s="29" t="n">
        <x:f>MAX(0,ROUNDDOWN(T36-(Q36+S36),0))</x:f>
        <x:v>0</x:v>
      </x:c>
      <x:c r="Z36" s="31" t="n">
        <x:f>Y36*D36</x:f>
        <x:v>0</x:v>
      </x:c>
      <x:c r="AA36" s="31" t="n">
        <x:f>T36*D36</x:f>
        <x:v>18426.7</x:v>
      </x:c>
    </x:row>
    <x:row r="37">
      <x:c r="A37" t="str">
        <x:v>SKU-017</x:v>
      </x:c>
      <x:c r="B37" t="str">
        <x:v>Trail Mix 80 g</x:v>
      </x:c>
      <x:c r="C37" t="str">
        <x:v>Snacks</x:v>
      </x:c>
      <x:c r="D37" s="30" t="n">
        <x:v>62.55</x:v>
      </x:c>
      <x:c r="E37" t="n">
        <x:v>10</x:v>
      </x:c>
      <x:c r="F37" s="31" t="n">
        <x:v>800</x:v>
      </x:c>
      <x:c r="G37" s="32" t="n">
        <x:f>SUM('Demand History'!N37:Y37)</x:f>
        <x:v>2306</x:v>
      </x:c>
      <x:c r="H37" s="32" t="n">
        <x:f>AVERAGE('Demand History'!N37:Y37)</x:f>
        <x:v>192.16666666666666</x:v>
      </x:c>
      <x:c r="I37" s="32" t="n">
        <x:f>STDEV.S('Demand History'!N37:Y37)</x:f>
        <x:v>119.78301088622584</x:v>
      </x:c>
      <x:c r="J37" s="33" t="n">
        <x:f>IF(H37=0,0,I37/H37)</x:f>
        <x:v>0.6233287643689116</x:v>
      </x:c>
      <x:c r="K37" s="33" t="n">
        <x:f>G37*D37</x:f>
        <x:v>144240.3</x:v>
      </x:c>
      <x:c r="L37" s="33" t="n">
        <x:f>K37/SUM($K$5:$K$40)</x:f>
        <x:v>0.007817156529761565</x:v>
      </x:c>
      <x:c r="M37" s="33" t="n">
        <x:f>SUM($L$5:L37)</x:f>
        <x:v>0.9837186711716306</x:v>
      </x:c>
      <x:c r="N37" t="str">
        <x:f>IF(M37&lt;='Parameters'!$B$5,"A",IF(M37&lt;='Parameters'!$B$6,"B","C"))</x:f>
        <x:v>C</x:v>
      </x:c>
      <x:c r="O37" t="str">
        <x:f>IF(J37&lt;='Parameters'!$B$8,"X",IF(J37&lt;='Parameters'!$B$9,"Y","Z"))</x:f>
        <x:v>Y</x:v>
      </x:c>
      <x:c r="P37" s="13" t="n">
        <x:f>IF(N37="A",'Parameters'!$B$11,IF(N37="B",'Parameters'!$B$12,'Parameters'!$B$13))</x:f>
        <x:v>1.28</x:v>
      </x:c>
      <x:c r="Q37" s="29" t="n">
        <x:f>ROUNDUP(P37*I37*SQRT(E37/'Parameters'!$B$15),0)</x:f>
        <x:v>89</x:v>
      </x:c>
      <x:c r="R37" s="29" t="n">
        <x:f>ROUNDUP(H37*(E37/'Parameters'!$B$15)+Q37,0)</x:f>
        <x:v>154</x:v>
      </x:c>
      <x:c r="S37" s="29" t="n">
        <x:f>ROUNDUP(SQRT((2*G37*F37)/(D37*'Parameters'!$B$14)),0)</x:f>
        <x:v>496</x:v>
      </x:c>
      <x:c r="T37" s="29" t="n">
        <x:v>602</x:v>
      </x:c>
      <x:c r="U37" s="29" t="n">
        <x:v>0</x:v>
      </x:c>
      <x:c r="V37" s="29" t="n">
        <x:f>T37+U37</x:f>
        <x:v>602</x:v>
      </x:c>
      <x:c r="W37" s="29" t="n">
        <x:f>IF(V37&lt;=R37,MAX(0,ROUNDUP(R37+S37-V37,0)),0)</x:f>
        <x:v>0</x:v>
      </x:c>
      <x:c r="X37" t="str">
        <x:f>IF(T37&lt;H37*(E37/'Parameters'!$B$15),"Stockout risk",IF(V37&lt;=R37,"Reorder now",IF(V37&lt;=R37*1.25,"Monitor","Healthy")))</x:f>
        <x:v>Healthy</x:v>
      </x:c>
      <x:c r="Y37" s="29" t="n">
        <x:f>MAX(0,ROUNDDOWN(T37-(Q37+S37),0))</x:f>
        <x:v>17</x:v>
      </x:c>
      <x:c r="Z37" s="31" t="n">
        <x:f>Y37*D37</x:f>
        <x:v>1063.35</x:v>
      </x:c>
      <x:c r="AA37" s="31" t="n">
        <x:f>T37*D37</x:f>
        <x:v>37655.1</x:v>
      </x:c>
    </x:row>
    <x:row r="38">
      <x:c r="A38" t="str">
        <x:v>SKU-027</x:v>
      </x:c>
      <x:c r="B38" t="str">
        <x:v>Hair Oil 200 ml</x:v>
      </x:c>
      <x:c r="C38" t="str">
        <x:v>Personal Care</x:v>
      </x:c>
      <x:c r="D38" s="30" t="n">
        <x:v>77.2</x:v>
      </x:c>
      <x:c r="E38" t="n">
        <x:v>18</x:v>
      </x:c>
      <x:c r="F38" s="31" t="n">
        <x:v>950</x:v>
      </x:c>
      <x:c r="G38" s="32" t="n">
        <x:f>SUM('Demand History'!N38:Y38)</x:f>
        <x:v>1712</x:v>
      </x:c>
      <x:c r="H38" s="32" t="n">
        <x:f>AVERAGE('Demand History'!N38:Y38)</x:f>
        <x:v>142.66666666666666</x:v>
      </x:c>
      <x:c r="I38" s="32" t="n">
        <x:f>STDEV.S('Demand History'!N38:Y38)</x:f>
        <x:v>106.48032966731745</x:v>
      </x:c>
      <x:c r="J38" s="33" t="n">
        <x:f>IF(H38=0,0,I38/H38)</x:f>
        <x:v>0.7463574509391411</x:v>
      </x:c>
      <x:c r="K38" s="33" t="n">
        <x:f>G38*D38</x:f>
        <x:v>132166.4</x:v>
      </x:c>
      <x:c r="L38" s="33" t="n">
        <x:f>K38/SUM($K$5:$K$40)</x:f>
        <x:v>0.007162807043351122</x:v>
      </x:c>
      <x:c r="M38" s="33" t="n">
        <x:f>SUM($L$5:L38)</x:f>
        <x:v>0.9908814782149817</x:v>
      </x:c>
      <x:c r="N38" t="str">
        <x:f>IF(M38&lt;='Parameters'!$B$5,"A",IF(M38&lt;='Parameters'!$B$6,"B","C"))</x:f>
        <x:v>C</x:v>
      </x:c>
      <x:c r="O38" t="str">
        <x:f>IF(J38&lt;='Parameters'!$B$8,"X",IF(J38&lt;='Parameters'!$B$9,"Y","Z"))</x:f>
        <x:v>Y</x:v>
      </x:c>
      <x:c r="P38" s="13" t="n">
        <x:f>IF(N38="A",'Parameters'!$B$11,IF(N38="B",'Parameters'!$B$12,'Parameters'!$B$13))</x:f>
        <x:v>1.28</x:v>
      </x:c>
      <x:c r="Q38" s="29" t="n">
        <x:f>ROUNDUP(P38*I38*SQRT(E38/'Parameters'!$B$15),0)</x:f>
        <x:v>106</x:v>
      </x:c>
      <x:c r="R38" s="29" t="n">
        <x:f>ROUNDUP(H38*(E38/'Parameters'!$B$15)+Q38,0)</x:f>
        <x:v>192</x:v>
      </x:c>
      <x:c r="S38" s="29" t="n">
        <x:f>ROUNDUP(SQRT((2*G38*F38)/(D38*'Parameters'!$B$14)),0)</x:f>
        <x:v>420</x:v>
      </x:c>
      <x:c r="T38" s="29" t="n">
        <x:v>685</x:v>
      </x:c>
      <x:c r="U38" s="29" t="n">
        <x:v>0</x:v>
      </x:c>
      <x:c r="V38" s="29" t="n">
        <x:f>T38+U38</x:f>
        <x:v>685</x:v>
      </x:c>
      <x:c r="W38" s="29" t="n">
        <x:f>IF(V38&lt;=R38,MAX(0,ROUNDUP(R38+S38-V38,0)),0)</x:f>
        <x:v>0</x:v>
      </x:c>
      <x:c r="X38" t="str">
        <x:f>IF(T38&lt;H38*(E38/'Parameters'!$B$15),"Stockout risk",IF(V38&lt;=R38,"Reorder now",IF(V38&lt;=R38*1.25,"Monitor","Healthy")))</x:f>
        <x:v>Healthy</x:v>
      </x:c>
      <x:c r="Y38" s="29" t="n">
        <x:f>MAX(0,ROUNDDOWN(T38-(Q38+S38),0))</x:f>
        <x:v>159</x:v>
      </x:c>
      <x:c r="Z38" s="31" t="n">
        <x:f>Y38*D38</x:f>
        <x:v>12274.800000000001</x:v>
      </x:c>
      <x:c r="AA38" s="31" t="n">
        <x:f>T38*D38</x:f>
        <x:v>52882</x:v>
      </x:c>
    </x:row>
    <x:row r="39">
      <x:c r="A39" t="str">
        <x:v>SKU-009</x:v>
      </x:c>
      <x:c r="B39" t="str">
        <x:v>Soda Water 750 ml</x:v>
      </x:c>
      <x:c r="C39" t="str">
        <x:v>Beverages</x:v>
      </x:c>
      <x:c r="D39" s="30" t="n">
        <x:v>55.21</x:v>
      </x:c>
      <x:c r="E39" t="n">
        <x:v>10</x:v>
      </x:c>
      <x:c r="F39" s="31" t="n">
        <x:v>650</x:v>
      </x:c>
      <x:c r="G39" s="32" t="n">
        <x:f>SUM('Demand History'!N39:Y39)</x:f>
        <x:v>1614</x:v>
      </x:c>
      <x:c r="H39" s="32" t="n">
        <x:f>AVERAGE('Demand History'!N39:Y39)</x:f>
        <x:v>134.5</x:v>
      </x:c>
      <x:c r="I39" s="32" t="n">
        <x:f>STDEV.S('Demand History'!N39:Y39)</x:f>
        <x:v>128.39109286579318</x:v>
      </x:c>
      <x:c r="J39" s="33" t="n">
        <x:f>IF(H39=0,0,I39/H39)</x:f>
        <x:v>0.9545806161025515</x:v>
      </x:c>
      <x:c r="K39" s="33" t="n">
        <x:f>G39*D39</x:f>
        <x:v>89108.94</x:v>
      </x:c>
      <x:c r="L39" s="33" t="n">
        <x:f>K39/SUM($K$5:$K$40)</x:f>
        <x:v>0.004829292036838051</x:v>
      </x:c>
      <x:c r="M39" s="33" t="n">
        <x:f>SUM($L$5:L39)</x:f>
        <x:v>0.9957107702518198</x:v>
      </x:c>
      <x:c r="N39" t="str">
        <x:f>IF(M39&lt;='Parameters'!$B$5,"A",IF(M39&lt;='Parameters'!$B$6,"B","C"))</x:f>
        <x:v>C</x:v>
      </x:c>
      <x:c r="O39" t="str">
        <x:f>IF(J39&lt;='Parameters'!$B$8,"X",IF(J39&lt;='Parameters'!$B$9,"Y","Z"))</x:f>
        <x:v>Y</x:v>
      </x:c>
      <x:c r="P39" s="13" t="n">
        <x:f>IF(N39="A",'Parameters'!$B$11,IF(N39="B",'Parameters'!$B$12,'Parameters'!$B$13))</x:f>
        <x:v>1.28</x:v>
      </x:c>
      <x:c r="Q39" s="29" t="n">
        <x:f>ROUNDUP(P39*I39*SQRT(E39/'Parameters'!$B$15),0)</x:f>
        <x:v>95</x:v>
      </x:c>
      <x:c r="R39" s="29" t="n">
        <x:f>ROUNDUP(H39*(E39/'Parameters'!$B$15)+Q39,0)</x:f>
        <x:v>140</x:v>
      </x:c>
      <x:c r="S39" s="29" t="n">
        <x:f>ROUNDUP(SQRT((2*G39*F39)/(D39*'Parameters'!$B$14)),0)</x:f>
        <x:v>398</x:v>
      </x:c>
      <x:c r="T39" s="29" t="n">
        <x:v>610</x:v>
      </x:c>
      <x:c r="U39" s="29" t="n">
        <x:v>0</x:v>
      </x:c>
      <x:c r="V39" s="29" t="n">
        <x:f>T39+U39</x:f>
        <x:v>610</x:v>
      </x:c>
      <x:c r="W39" s="29" t="n">
        <x:f>IF(V39&lt;=R39,MAX(0,ROUNDUP(R39+S39-V39,0)),0)</x:f>
        <x:v>0</x:v>
      </x:c>
      <x:c r="X39" t="str">
        <x:f>IF(T39&lt;H39*(E39/'Parameters'!$B$15),"Stockout risk",IF(V39&lt;=R39,"Reorder now",IF(V39&lt;=R39*1.25,"Monitor","Healthy")))</x:f>
        <x:v>Healthy</x:v>
      </x:c>
      <x:c r="Y39" s="29" t="n">
        <x:f>MAX(0,ROUNDDOWN(T39-(Q39+S39),0))</x:f>
        <x:v>117</x:v>
      </x:c>
      <x:c r="Z39" s="31" t="n">
        <x:f>Y39*D39</x:f>
        <x:v>6459.57</x:v>
      </x:c>
      <x:c r="AA39" s="31" t="n">
        <x:f>T39*D39</x:f>
        <x:v>33678.1</x:v>
      </x:c>
    </x:row>
    <x:row r="40">
      <x:c r="A40" t="str">
        <x:v>SKU-018</x:v>
      </x:c>
      <x:c r="B40" t="str">
        <x:v>Chocolate Wafer 40 g</x:v>
      </x:c>
      <x:c r="C40" t="str">
        <x:v>Snacks</x:v>
      </x:c>
      <x:c r="D40" s="30" t="n">
        <x:v>64.66</x:v>
      </x:c>
      <x:c r="E40" t="n">
        <x:v>14</x:v>
      </x:c>
      <x:c r="F40" s="31" t="n">
        <x:v>800</x:v>
      </x:c>
      <x:c r="G40" s="32" t="n">
        <x:f>SUM('Demand History'!N40:Y40)</x:f>
        <x:v>1224</x:v>
      </x:c>
      <x:c r="H40" s="32" t="n">
        <x:f>AVERAGE('Demand History'!N40:Y40)</x:f>
        <x:v>102</x:v>
      </x:c>
      <x:c r="I40" s="32" t="n">
        <x:f>STDEV.S('Demand History'!N40:Y40)</x:f>
        <x:v>79.5772923298189</x:v>
      </x:c>
      <x:c r="J40" s="33" t="n">
        <x:f>IF(H40=0,0,I40/H40)</x:f>
        <x:v>0.7801695326452833</x:v>
      </x:c>
      <x:c r="K40" s="33" t="n">
        <x:f>G40*D40</x:f>
        <x:v>79143.84</x:v>
      </x:c>
      <x:c r="L40" s="33" t="n">
        <x:f>K40/SUM($K$5:$K$40)</x:f>
        <x:v>0.004289229748179978</x:v>
      </x:c>
      <x:c r="M40" s="33" t="n">
        <x:f>SUM($L$5:L40)</x:f>
        <x:v>0.9999999999999998</x:v>
      </x:c>
      <x:c r="N40" t="str">
        <x:f>IF(M40&lt;='Parameters'!$B$5,"A",IF(M40&lt;='Parameters'!$B$6,"B","C"))</x:f>
        <x:v>C</x:v>
      </x:c>
      <x:c r="O40" t="str">
        <x:f>IF(J40&lt;='Parameters'!$B$8,"X",IF(J40&lt;='Parameters'!$B$9,"Y","Z"))</x:f>
        <x:v>Y</x:v>
      </x:c>
      <x:c r="P40" s="13" t="n">
        <x:f>IF(N40="A",'Parameters'!$B$11,IF(N40="B",'Parameters'!$B$12,'Parameters'!$B$13))</x:f>
        <x:v>1.28</x:v>
      </x:c>
      <x:c r="Q40" s="29" t="n">
        <x:f>ROUNDUP(P40*I40*SQRT(E40/'Parameters'!$B$15),0)</x:f>
        <x:v>70</x:v>
      </x:c>
      <x:c r="R40" s="29" t="n">
        <x:f>ROUNDUP(H40*(E40/'Parameters'!$B$15)+Q40,0)</x:f>
        <x:v>118</x:v>
      </x:c>
      <x:c r="S40" s="29" t="n">
        <x:f>ROUNDUP(SQRT((2*G40*F40)/(D40*'Parameters'!$B$14)),0)</x:f>
        <x:v>356</x:v>
      </x:c>
      <x:c r="T40" s="29" t="n">
        <x:v>129</x:v>
      </x:c>
      <x:c r="U40" s="29" t="n">
        <x:v>0</x:v>
      </x:c>
      <x:c r="V40" s="29" t="n">
        <x:f>T40+U40</x:f>
        <x:v>129</x:v>
      </x:c>
      <x:c r="W40" s="29" t="n">
        <x:f>IF(V40&lt;=R40,MAX(0,ROUNDUP(R40+S40-V40,0)),0)</x:f>
        <x:v>0</x:v>
      </x:c>
      <x:c r="X40" t="str">
        <x:f>IF(T40&lt;H40*(E40/'Parameters'!$B$15),"Stockout risk",IF(V40&lt;=R40,"Reorder now",IF(V40&lt;=R40*1.25,"Monitor","Healthy")))</x:f>
        <x:v>Monitor</x:v>
      </x:c>
      <x:c r="Y40" s="29" t="n">
        <x:f>MAX(0,ROUNDDOWN(T40-(Q40+S40),0))</x:f>
        <x:v>0</x:v>
      </x:c>
      <x:c r="Z40" s="31" t="n">
        <x:f>Y40*D40</x:f>
        <x:v>0</x:v>
      </x:c>
      <x:c r="AA40" s="31" t="n">
        <x:f>T40*D40</x:f>
        <x:v>8341.14</x:v>
      </x:c>
    </x:row>
  </x:sheetData>
  <x:mergeCells>
    <x:mergeCell ref="A1:AA2"/>
  </x:mergeCells>
  <x:conditionalFormatting sqref="X5:X40">
    <x:cfRule type="containsText" dxfId="0" priority="1" operator="containsText" text="Stockout risk"/>
    <x:cfRule type="containsText" dxfId="1" priority="2" operator="containsText" text="Reorder now"/>
    <x:cfRule type="containsText" dxfId="2" priority="3" operator="containsText" text="Healthy"/>
  </x:conditionalFormatting>
  <x:pageMargins left="0.7" right="0.7" top="0.75" bottom="0.75" header="0.3" footer="0.3"/>
  <x:tableParts count="1">
    <x:tablePart xmlns:r="http://schemas.openxmlformats.org/officeDocument/2006/relationships" r:id="R82fc6c61d5844a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6" max="6" width="1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" t="str">
        <x:v>ABC-XYZ policy matrix</x:v>
      </x:c>
      <x:c r="B1" s="3"/>
      <x:c r="C1" s="3"/>
      <x:c r="D1" s="3"/>
      <x:c r="E1" s="3"/>
      <x:c r="F1" s="68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40" t="str">
        <x:v>Class</x:v>
      </x:c>
      <x:c r="B4" s="40" t="str">
        <x:v>X: stable</x:v>
      </x:c>
      <x:c r="C4" s="40" t="str">
        <x:v>Y: variable</x:v>
      </x:c>
      <x:c r="D4" s="40" t="str">
        <x:v>Z: volatile</x:v>
      </x:c>
      <x:c r="F4" s="39" t="str">
        <x:v>Operating policy by cell</x:v>
      </x:c>
      <x:c r="G4" s="39" t="str">
        <x:v>Operating policy by cell</x:v>
      </x:c>
      <x:c r="H4" s="39" t="str">
        <x:v>Operating policy by cell</x:v>
      </x:c>
      <x:c r="I4" s="39" t="str">
        <x:v>Operating policy by cell</x:v>
      </x:c>
      <x:c r="J4" s="39" t="str">
        <x:v>Operating policy by cell</x:v>
      </x:c>
    </x:row>
    <x:row r="5" ht="44" customHeight="1">
      <x:c r="A5" s="41" t="str">
        <x:v>A: high value</x:v>
      </x:c>
      <x:c r="B5" s="42" t="n">
        <x:f>COUNTIFS('SKU Policy'!$N$5:$N$40,"A",'SKU Policy'!$O$5:$O$40,"X")</x:f>
        <x:v>20</x:v>
      </x:c>
      <x:c r="C5" s="42" t="n">
        <x:f>COUNTIFS('SKU Policy'!$N$5:$N$40,"A",'SKU Policy'!$O$5:$O$40,"Y")</x:f>
        <x:v>0</x:v>
      </x:c>
      <x:c r="D5" s="42" t="n">
        <x:f>COUNTIFS('SKU Policy'!$N$5:$N$40,"A",'SKU Policy'!$O$5:$O$40,"Z")</x:f>
        <x:v>0</x:v>
      </x:c>
      <x:c r="F5" s="58" t="str">
        <x:v>AX</x:v>
      </x:c>
      <x:c r="G5" s="59" t="str">
        <x:v>Frequent review</x:v>
      </x:c>
      <x:c r="H5" s="59" t="str">
        <x:v>High service</x:v>
      </x:c>
      <x:c r="I5" s="59" t="str">
        <x:v>Tight forecast</x:v>
      </x:c>
      <x:c r="J5" s="60" t="str">
        <x:v>Protect availability</x:v>
      </x:c>
    </x:row>
    <x:row r="6" ht="44" customHeight="1">
      <x:c r="A6" s="41" t="str">
        <x:v>B: medium value</x:v>
      </x:c>
      <x:c r="B6" s="42" t="n">
        <x:f>COUNTIFS('SKU Policy'!$N$5:$N$40,"B",'SKU Policy'!$O$5:$O$40,"X")</x:f>
        <x:v>7</x:v>
      </x:c>
      <x:c r="C6" s="42" t="n">
        <x:f>COUNTIFS('SKU Policy'!$N$5:$N$40,"B",'SKU Policy'!$O$5:$O$40,"Y")</x:f>
        <x:v>2</x:v>
      </x:c>
      <x:c r="D6" s="42" t="n">
        <x:f>COUNTIFS('SKU Policy'!$N$5:$N$40,"B",'SKU Policy'!$O$5:$O$40,"Z")</x:f>
        <x:v>0</x:v>
      </x:c>
      <x:c r="F6" s="61" t="str">
        <x:v>AY</x:v>
      </x:c>
      <x:c r="G6" s="62" t="str">
        <x:v>Weekly exception</x:v>
      </x:c>
      <x:c r="H6" s="62" t="str">
        <x:v>High service</x:v>
      </x:c>
      <x:c r="I6" s="62" t="str">
        <x:v>Planner review</x:v>
      </x:c>
      <x:c r="J6" s="63" t="str">
        <x:v>Watch variability</x:v>
      </x:c>
    </x:row>
    <x:row r="7" ht="44" customHeight="1">
      <x:c r="A7" s="41" t="str">
        <x:v>C: lower value</x:v>
      </x:c>
      <x:c r="B7" s="42" t="n">
        <x:f>COUNTIFS('SKU Policy'!$N$5:$N$40,"C",'SKU Policy'!$O$5:$O$40,"X")</x:f>
        <x:v>1</x:v>
      </x:c>
      <x:c r="C7" s="42" t="n">
        <x:f>COUNTIFS('SKU Policy'!$N$5:$N$40,"C",'SKU Policy'!$O$5:$O$40,"Y")</x:f>
        <x:v>5</x:v>
      </x:c>
      <x:c r="D7" s="42" t="n">
        <x:f>COUNTIFS('SKU Policy'!$N$5:$N$40,"C",'SKU Policy'!$O$5:$O$40,"Z")</x:f>
        <x:v>1</x:v>
      </x:c>
      <x:c r="F7" s="61" t="str">
        <x:v>AZ</x:v>
      </x:c>
      <x:c r="G7" s="62" t="str">
        <x:v>Event-led</x:v>
      </x:c>
      <x:c r="H7" s="62" t="str">
        <x:v>High service</x:v>
      </x:c>
      <x:c r="I7" s="62" t="str">
        <x:v>Manual judgement</x:v>
      </x:c>
      <x:c r="J7" s="63" t="str">
        <x:v>Avoid normal-only logic</x:v>
      </x:c>
    </x:row>
    <x:row r="8">
      <x:c r="F8" s="61" t="str">
        <x:v>BX</x:v>
      </x:c>
      <x:c r="G8" s="62" t="str">
        <x:v>Standard cycle</x:v>
      </x:c>
      <x:c r="H8" s="62" t="str">
        <x:v>Medium service</x:v>
      </x:c>
      <x:c r="I8" s="62" t="str">
        <x:v>Automate</x:v>
      </x:c>
      <x:c r="J8" s="63" t="str">
        <x:v>Review monthly</x:v>
      </x:c>
    </x:row>
    <x:row r="9">
      <x:c r="F9" s="61" t="str">
        <x:v>BY</x:v>
      </x:c>
      <x:c r="G9" s="62" t="str">
        <x:v>Exception cycle</x:v>
      </x:c>
      <x:c r="H9" s="62" t="str">
        <x:v>Medium service</x:v>
      </x:c>
      <x:c r="I9" s="62" t="str">
        <x:v>Watch forecast</x:v>
      </x:c>
      <x:c r="J9" s="63" t="str">
        <x:v>Review monthly</x:v>
      </x:c>
    </x:row>
    <x:row r="10">
      <x:c r="F10" s="61" t="str">
        <x:v>BZ</x:v>
      </x:c>
      <x:c r="G10" s="62" t="str">
        <x:v>Selective stock</x:v>
      </x:c>
      <x:c r="H10" s="62" t="str">
        <x:v>Medium service</x:v>
      </x:c>
      <x:c r="I10" s="62" t="str">
        <x:v>Manual review</x:v>
      </x:c>
      <x:c r="J10" s="63" t="str">
        <x:v>Limit exposure</x:v>
      </x:c>
    </x:row>
    <x:row r="11">
      <x:c r="F11" s="61" t="str">
        <x:v>CX</x:v>
      </x:c>
      <x:c r="G11" s="62" t="str">
        <x:v>Light-touch</x:v>
      </x:c>
      <x:c r="H11" s="62" t="str">
        <x:v>Lower service</x:v>
      </x:c>
      <x:c r="I11" s="62" t="str">
        <x:v>Longer cycle</x:v>
      </x:c>
      <x:c r="J11" s="63" t="str">
        <x:v>Bundle orders</x:v>
      </x:c>
    </x:row>
    <x:row r="12">
      <x:c r="F12" s="64" t="str">
        <x:v>CY/CZ</x:v>
      </x:c>
      <x:c r="G12" s="65" t="str">
        <x:v>Case by case</x:v>
      </x:c>
      <x:c r="H12" s="65" t="str">
        <x:v>Lower service</x:v>
      </x:c>
      <x:c r="I12" s="65" t="str">
        <x:v>Intermittent check</x:v>
      </x:c>
      <x:c r="J12" s="66" t="str">
        <x:v>Avoid excess</x:v>
      </x:c>
    </x:row>
  </x:sheetData>
  <x:mergeCells>
    <x:mergeCell ref="A1:J2"/>
    <x:mergeCell ref="F4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>
      <x:c r="A1" s="3" t="str">
        <x:v>Monthly demand history | 24 months | synthetic units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4">
      <x:c r="A4" s="9" t="str">
        <x:v>SKU ID</x:v>
      </x:c>
      <x:c r="B4" s="10" t="str">
        <x:v>2024-01-01</x:v>
      </x:c>
      <x:c r="C4" s="10" t="str">
        <x:v>2024-02-01</x:v>
      </x:c>
      <x:c r="D4" s="10" t="str">
        <x:v>2024-03-01</x:v>
      </x:c>
      <x:c r="E4" s="10" t="str">
        <x:v>2024-04-01</x:v>
      </x:c>
      <x:c r="F4" s="10" t="str">
        <x:v>2024-05-01</x:v>
      </x:c>
      <x:c r="G4" s="10" t="str">
        <x:v>2024-06-01</x:v>
      </x:c>
      <x:c r="H4" s="10" t="str">
        <x:v>2024-07-01</x:v>
      </x:c>
      <x:c r="I4" s="10" t="str">
        <x:v>2024-08-01</x:v>
      </x:c>
      <x:c r="J4" s="10" t="str">
        <x:v>2024-09-01</x:v>
      </x:c>
      <x:c r="K4" s="10" t="str">
        <x:v>2024-10-01</x:v>
      </x:c>
      <x:c r="L4" s="10" t="str">
        <x:v>2024-11-01</x:v>
      </x:c>
      <x:c r="M4" s="10" t="str">
        <x:v>2024-12-01</x:v>
      </x:c>
      <x:c r="N4" s="10" t="str">
        <x:v>2025-01-01</x:v>
      </x:c>
      <x:c r="O4" s="10" t="str">
        <x:v>2025-02-01</x:v>
      </x:c>
      <x:c r="P4" s="10" t="str">
        <x:v>2025-03-01</x:v>
      </x:c>
      <x:c r="Q4" s="10" t="str">
        <x:v>2025-04-01</x:v>
      </x:c>
      <x:c r="R4" s="10" t="str">
        <x:v>2025-05-01</x:v>
      </x:c>
      <x:c r="S4" s="10" t="str">
        <x:v>2025-06-01</x:v>
      </x:c>
      <x:c r="T4" s="10" t="str">
        <x:v>2025-07-01</x:v>
      </x:c>
      <x:c r="U4" s="10" t="str">
        <x:v>2025-08-01</x:v>
      </x:c>
      <x:c r="V4" s="10" t="str">
        <x:v>2025-09-01</x:v>
      </x:c>
      <x:c r="W4" s="10" t="str">
        <x:v>2025-10-01</x:v>
      </x:c>
      <x:c r="X4" s="10" t="str">
        <x:v>2025-11-01</x:v>
      </x:c>
      <x:c r="Y4" s="11" t="str">
        <x:v>2025-12-01</x:v>
      </x:c>
    </x:row>
    <x:row r="5">
      <x:c r="A5" t="str">
        <x:v>SKU-028</x:v>
      </x:c>
      <x:c r="B5" s="29" t="n">
        <x:v>2090</x:v>
      </x:c>
      <x:c r="C5" s="29" t="n">
        <x:v>2251</x:v>
      </x:c>
      <x:c r="D5" s="29" t="n">
        <x:v>1860</x:v>
      </x:c>
      <x:c r="E5" s="29" t="n">
        <x:v>2211</x:v>
      </x:c>
      <x:c r="F5" s="29" t="n">
        <x:v>1852</x:v>
      </x:c>
      <x:c r="G5" s="29" t="n">
        <x:v>1964</x:v>
      </x:c>
      <x:c r="H5" s="29" t="n">
        <x:v>2226</x:v>
      </x:c>
      <x:c r="I5" s="29" t="n">
        <x:v>2355</x:v>
      </x:c>
      <x:c r="J5" s="29" t="n">
        <x:v>1713</x:v>
      </x:c>
      <x:c r="K5" s="29" t="n">
        <x:v>1923</x:v>
      </x:c>
      <x:c r="L5" s="29" t="n">
        <x:v>2239</x:v>
      </x:c>
      <x:c r="M5" s="29" t="n">
        <x:v>2078</x:v>
      </x:c>
      <x:c r="N5" s="29" t="n">
        <x:v>1785</x:v>
      </x:c>
      <x:c r="O5" s="29" t="n">
        <x:v>2072</x:v>
      </x:c>
      <x:c r="P5" s="29" t="n">
        <x:v>1927</x:v>
      </x:c>
      <x:c r="Q5" s="29" t="n">
        <x:v>2442</x:v>
      </x:c>
      <x:c r="R5" s="29" t="n">
        <x:v>1941</x:v>
      </x:c>
      <x:c r="S5" s="29" t="n">
        <x:v>1747</x:v>
      </x:c>
      <x:c r="T5" s="29" t="n">
        <x:v>2139</x:v>
      </x:c>
      <x:c r="U5" s="29" t="n">
        <x:v>2009</x:v>
      </x:c>
      <x:c r="V5" s="29" t="n">
        <x:v>2095</x:v>
      </x:c>
      <x:c r="W5" s="29" t="n">
        <x:v>1900</x:v>
      </x:c>
      <x:c r="X5" s="29" t="n">
        <x:v>2122</x:v>
      </x:c>
      <x:c r="Y5" s="29" t="n">
        <x:v>1883</x:v>
      </x:c>
    </x:row>
    <x:row r="6">
      <x:c r="A6" t="str">
        <x:v>SKU-029</x:v>
      </x:c>
      <x:c r="B6" s="29" t="n">
        <x:v>1635</x:v>
      </x:c>
      <x:c r="C6" s="29" t="n">
        <x:v>1719</x:v>
      </x:c>
      <x:c r="D6" s="29" t="n">
        <x:v>1741</x:v>
      </x:c>
      <x:c r="E6" s="29" t="n">
        <x:v>1771</x:v>
      </x:c>
      <x:c r="F6" s="29" t="n">
        <x:v>1861</x:v>
      </x:c>
      <x:c r="G6" s="29" t="n">
        <x:v>1872</x:v>
      </x:c>
      <x:c r="H6" s="29" t="n">
        <x:v>1752</x:v>
      </x:c>
      <x:c r="I6" s="29" t="n">
        <x:v>1857</x:v>
      </x:c>
      <x:c r="J6" s="29" t="n">
        <x:v>1900</x:v>
      </x:c>
      <x:c r="K6" s="29" t="n">
        <x:v>1648</x:v>
      </x:c>
      <x:c r="L6" s="29" t="n">
        <x:v>1692</x:v>
      </x:c>
      <x:c r="M6" s="29" t="n">
        <x:v>1892</x:v>
      </x:c>
      <x:c r="N6" s="29" t="n">
        <x:v>1998</x:v>
      </x:c>
      <x:c r="O6" s="29" t="n">
        <x:v>1663</x:v>
      </x:c>
      <x:c r="P6" s="29" t="n">
        <x:v>1531</x:v>
      </x:c>
      <x:c r="Q6" s="29" t="n">
        <x:v>1712</x:v>
      </x:c>
      <x:c r="R6" s="29" t="n">
        <x:v>1559</x:v>
      </x:c>
      <x:c r="S6" s="29" t="n">
        <x:v>1592</x:v>
      </x:c>
      <x:c r="T6" s="29" t="n">
        <x:v>2019</x:v>
      </x:c>
      <x:c r="U6" s="29" t="n">
        <x:v>1943</x:v>
      </x:c>
      <x:c r="V6" s="29" t="n">
        <x:v>1773</x:v>
      </x:c>
      <x:c r="W6" s="29" t="n">
        <x:v>1561</x:v>
      </x:c>
      <x:c r="X6" s="29" t="n">
        <x:v>1697</x:v>
      </x:c>
      <x:c r="Y6" s="29" t="n">
        <x:v>1713</x:v>
      </x:c>
    </x:row>
    <x:row r="7">
      <x:c r="A7" t="str">
        <x:v>SKU-030</x:v>
      </x:c>
      <x:c r="B7" s="29" t="n">
        <x:v>1456</x:v>
      </x:c>
      <x:c r="C7" s="29" t="n">
        <x:v>1513</x:v>
      </x:c>
      <x:c r="D7" s="29" t="n">
        <x:v>1353</x:v>
      </x:c>
      <x:c r="E7" s="29" t="n">
        <x:v>1422</x:v>
      </x:c>
      <x:c r="F7" s="29" t="n">
        <x:v>1380</x:v>
      </x:c>
      <x:c r="G7" s="29" t="n">
        <x:v>1422</x:v>
      </x:c>
      <x:c r="H7" s="29" t="n">
        <x:v>1508</x:v>
      </x:c>
      <x:c r="I7" s="29" t="n">
        <x:v>1551</x:v>
      </x:c>
      <x:c r="J7" s="29" t="n">
        <x:v>1417</x:v>
      </x:c>
      <x:c r="K7" s="29" t="n">
        <x:v>1310</x:v>
      </x:c>
      <x:c r="L7" s="29" t="n">
        <x:v>1373</x:v>
      </x:c>
      <x:c r="M7" s="29" t="n">
        <x:v>1351</x:v>
      </x:c>
      <x:c r="N7" s="29" t="n">
        <x:v>1418</x:v>
      </x:c>
      <x:c r="O7" s="29" t="n">
        <x:v>1440</x:v>
      </x:c>
      <x:c r="P7" s="29" t="n">
        <x:v>1171</x:v>
      </x:c>
      <x:c r="Q7" s="29" t="n">
        <x:v>1432</x:v>
      </x:c>
      <x:c r="R7" s="29" t="n">
        <x:v>1399</x:v>
      </x:c>
      <x:c r="S7" s="29" t="n">
        <x:v>1473</x:v>
      </x:c>
      <x:c r="T7" s="29" t="n">
        <x:v>1557</x:v>
      </x:c>
      <x:c r="U7" s="29" t="n">
        <x:v>1468</x:v>
      </x:c>
      <x:c r="V7" s="29" t="n">
        <x:v>1397</x:v>
      </x:c>
      <x:c r="W7" s="29" t="n">
        <x:v>1416</x:v>
      </x:c>
      <x:c r="X7" s="29" t="n">
        <x:v>1276</x:v>
      </x:c>
      <x:c r="Y7" s="29" t="n">
        <x:v>1354</x:v>
      </x:c>
    </x:row>
    <x:row r="8">
      <x:c r="A8" t="str">
        <x:v>SKU-019</x:v>
      </x:c>
      <x:c r="B8" s="29" t="n">
        <x:v>2080</x:v>
      </x:c>
      <x:c r="C8" s="29" t="n">
        <x:v>2245</x:v>
      </x:c>
      <x:c r="D8" s="29" t="n">
        <x:v>2045</x:v>
      </x:c>
      <x:c r="E8" s="29" t="n">
        <x:v>1896</x:v>
      </x:c>
      <x:c r="F8" s="29" t="n">
        <x:v>1703</x:v>
      </x:c>
      <x:c r="G8" s="29" t="n">
        <x:v>2085</x:v>
      </x:c>
      <x:c r="H8" s="29" t="n">
        <x:v>1921</x:v>
      </x:c>
      <x:c r="I8" s="29" t="n">
        <x:v>2168</x:v>
      </x:c>
      <x:c r="J8" s="29" t="n">
        <x:v>1991</x:v>
      </x:c>
      <x:c r="K8" s="29" t="n">
        <x:v>1988</x:v>
      </x:c>
      <x:c r="L8" s="29" t="n">
        <x:v>2466</x:v>
      </x:c>
      <x:c r="M8" s="29" t="n">
        <x:v>1841</x:v>
      </x:c>
      <x:c r="N8" s="29" t="n">
        <x:v>1961</x:v>
      </x:c>
      <x:c r="O8" s="29" t="n">
        <x:v>1874</x:v>
      </x:c>
      <x:c r="P8" s="29" t="n">
        <x:v>2074</x:v>
      </x:c>
      <x:c r="Q8" s="29" t="n">
        <x:v>1987</x:v>
      </x:c>
      <x:c r="R8" s="29" t="n">
        <x:v>1996</x:v>
      </x:c>
      <x:c r="S8" s="29" t="n">
        <x:v>1973</x:v>
      </x:c>
      <x:c r="T8" s="29" t="n">
        <x:v>1820</x:v>
      </x:c>
      <x:c r="U8" s="29" t="n">
        <x:v>1957</x:v>
      </x:c>
      <x:c r="V8" s="29" t="n">
        <x:v>2045</x:v>
      </x:c>
      <x:c r="W8" s="29" t="n">
        <x:v>2048</x:v>
      </x:c>
      <x:c r="X8" s="29" t="n">
        <x:v>2160</x:v>
      </x:c>
      <x:c r="Y8" s="29" t="n">
        <x:v>2101</x:v>
      </x:c>
    </x:row>
    <x:row r="9">
      <x:c r="A9" t="str">
        <x:v>SKU-031</x:v>
      </x:c>
      <x:c r="B9" s="29" t="n">
        <x:v>1044</x:v>
      </x:c>
      <x:c r="C9" s="29" t="n">
        <x:v>993</x:v>
      </x:c>
      <x:c r="D9" s="29" t="n">
        <x:v>1184</x:v>
      </x:c>
      <x:c r="E9" s="29" t="n">
        <x:v>978</x:v>
      </x:c>
      <x:c r="F9" s="29" t="n">
        <x:v>1227</x:v>
      </x:c>
      <x:c r="G9" s="29" t="n">
        <x:v>1026</x:v>
      </x:c>
      <x:c r="H9" s="29" t="n">
        <x:v>1013</x:v>
      </x:c>
      <x:c r="I9" s="29" t="n">
        <x:v>1104</x:v>
      </x:c>
      <x:c r="J9" s="29" t="n">
        <x:v>1249</x:v>
      </x:c>
      <x:c r="K9" s="29" t="n">
        <x:v>994</x:v>
      </x:c>
      <x:c r="L9" s="29" t="n">
        <x:v>999</x:v>
      </x:c>
      <x:c r="M9" s="29" t="n">
        <x:v>1023</x:v>
      </x:c>
      <x:c r="N9" s="29" t="n">
        <x:v>1143</x:v>
      </x:c>
      <x:c r="O9" s="29" t="n">
        <x:v>1110</x:v>
      </x:c>
      <x:c r="P9" s="29" t="n">
        <x:v>1203</x:v>
      </x:c>
      <x:c r="Q9" s="29" t="n">
        <x:v>1148</x:v>
      </x:c>
      <x:c r="R9" s="29" t="n">
        <x:v>1102</x:v>
      </x:c>
      <x:c r="S9" s="29" t="n">
        <x:v>1076</x:v>
      </x:c>
      <x:c r="T9" s="29" t="n">
        <x:v>1250</x:v>
      </x:c>
      <x:c r="U9" s="29" t="n">
        <x:v>1122</x:v>
      </x:c>
      <x:c r="V9" s="29" t="n">
        <x:v>1181</x:v>
      </x:c>
      <x:c r="W9" s="29" t="n">
        <x:v>1049</x:v>
      </x:c>
      <x:c r="X9" s="29" t="n">
        <x:v>1102</x:v>
      </x:c>
      <x:c r="Y9" s="29" t="n">
        <x:v>1142</x:v>
      </x:c>
    </x:row>
    <x:row r="10">
      <x:c r="A10" t="str">
        <x:v>SKU-020</x:v>
      </x:c>
      <x:c r="B10" s="29" t="n">
        <x:v>1841</x:v>
      </x:c>
      <x:c r="C10" s="29" t="n">
        <x:v>1749</x:v>
      </x:c>
      <x:c r="D10" s="29" t="n">
        <x:v>1711</x:v>
      </x:c>
      <x:c r="E10" s="29" t="n">
        <x:v>1656</x:v>
      </x:c>
      <x:c r="F10" s="29" t="n">
        <x:v>1642</x:v>
      </x:c>
      <x:c r="G10" s="29" t="n">
        <x:v>1666</x:v>
      </x:c>
      <x:c r="H10" s="29" t="n">
        <x:v>1419</x:v>
      </x:c>
      <x:c r="I10" s="29" t="n">
        <x:v>1792</x:v>
      </x:c>
      <x:c r="J10" s="29" t="n">
        <x:v>1582</x:v>
      </x:c>
      <x:c r="K10" s="29" t="n">
        <x:v>1641</x:v>
      </x:c>
      <x:c r="L10" s="29" t="n">
        <x:v>1487</x:v>
      </x:c>
      <x:c r="M10" s="29" t="n">
        <x:v>1462</x:v>
      </x:c>
      <x:c r="N10" s="29" t="n">
        <x:v>1582</x:v>
      </x:c>
      <x:c r="O10" s="29" t="n">
        <x:v>1742</x:v>
      </x:c>
      <x:c r="P10" s="29" t="n">
        <x:v>1557</x:v>
      </x:c>
      <x:c r="Q10" s="29" t="n">
        <x:v>1759</x:v>
      </x:c>
      <x:c r="R10" s="29" t="n">
        <x:v>1650</x:v>
      </x:c>
      <x:c r="S10" s="29" t="n">
        <x:v>1516</x:v>
      </x:c>
      <x:c r="T10" s="29" t="n">
        <x:v>1600</x:v>
      </x:c>
      <x:c r="U10" s="29" t="n">
        <x:v>1720</x:v>
      </x:c>
      <x:c r="V10" s="29" t="n">
        <x:v>1831</x:v>
      </x:c>
      <x:c r="W10" s="29" t="n">
        <x:v>1856</x:v>
      </x:c>
      <x:c r="X10" s="29" t="n">
        <x:v>1539</x:v>
      </x:c>
      <x:c r="Y10" s="29" t="n">
        <x:v>1761</x:v>
      </x:c>
    </x:row>
    <x:row r="11">
      <x:c r="A11" t="str">
        <x:v>SKU-010</x:v>
      </x:c>
      <x:c r="B11" s="29" t="n">
        <x:v>2092</x:v>
      </x:c>
      <x:c r="C11" s="29" t="n">
        <x:v>2190</x:v>
      </x:c>
      <x:c r="D11" s="29" t="n">
        <x:v>1917</x:v>
      </x:c>
      <x:c r="E11" s="29" t="n">
        <x:v>2039</x:v>
      </x:c>
      <x:c r="F11" s="29" t="n">
        <x:v>2127</x:v>
      </x:c>
      <x:c r="G11" s="29" t="n">
        <x:v>2199</x:v>
      </x:c>
      <x:c r="H11" s="29" t="n">
        <x:v>1986</x:v>
      </x:c>
      <x:c r="I11" s="29" t="n">
        <x:v>2116</x:v>
      </x:c>
      <x:c r="J11" s="29" t="n">
        <x:v>1872</x:v>
      </x:c>
      <x:c r="K11" s="29" t="n">
        <x:v>2434</x:v>
      </x:c>
      <x:c r="L11" s="29" t="n">
        <x:v>2212</x:v>
      </x:c>
      <x:c r="M11" s="29" t="n">
        <x:v>1964</x:v>
      </x:c>
      <x:c r="N11" s="29" t="n">
        <x:v>2094</x:v>
      </x:c>
      <x:c r="O11" s="29" t="n">
        <x:v>2198</x:v>
      </x:c>
      <x:c r="P11" s="29" t="n">
        <x:v>2269</x:v>
      </x:c>
      <x:c r="Q11" s="29" t="n">
        <x:v>2135</x:v>
      </x:c>
      <x:c r="R11" s="29" t="n">
        <x:v>2061</x:v>
      </x:c>
      <x:c r="S11" s="29" t="n">
        <x:v>1963</x:v>
      </x:c>
      <x:c r="T11" s="29" t="n">
        <x:v>1751</x:v>
      </x:c>
      <x:c r="U11" s="29" t="n">
        <x:v>1787</x:v>
      </x:c>
      <x:c r="V11" s="29" t="n">
        <x:v>2104</x:v>
      </x:c>
      <x:c r="W11" s="29" t="n">
        <x:v>2794</x:v>
      </x:c>
      <x:c r="X11" s="29" t="n">
        <x:v>2303</x:v>
      </x:c>
      <x:c r="Y11" s="29" t="n">
        <x:v>2027</x:v>
      </x:c>
    </x:row>
    <x:row r="12">
      <x:c r="A12" t="str">
        <x:v>SKU-021</x:v>
      </x:c>
      <x:c r="B12" s="29" t="n">
        <x:v>1368</x:v>
      </x:c>
      <x:c r="C12" s="29" t="n">
        <x:v>1379</x:v>
      </x:c>
      <x:c r="D12" s="29" t="n">
        <x:v>1342</x:v>
      </x:c>
      <x:c r="E12" s="29" t="n">
        <x:v>1408</x:v>
      </x:c>
      <x:c r="F12" s="29" t="n">
        <x:v>1402</x:v>
      </x:c>
      <x:c r="G12" s="29" t="n">
        <x:v>1324</x:v>
      </x:c>
      <x:c r="H12" s="29" t="n">
        <x:v>1470</x:v>
      </x:c>
      <x:c r="I12" s="29" t="n">
        <x:v>1335</x:v>
      </x:c>
      <x:c r="J12" s="29" t="n">
        <x:v>1431</x:v>
      </x:c>
      <x:c r="K12" s="29" t="n">
        <x:v>1513</x:v>
      </x:c>
      <x:c r="L12" s="29" t="n">
        <x:v>1500</x:v>
      </x:c>
      <x:c r="M12" s="29" t="n">
        <x:v>1203</x:v>
      </x:c>
      <x:c r="N12" s="29" t="n">
        <x:v>1368</x:v>
      </x:c>
      <x:c r="O12" s="29" t="n">
        <x:v>1466</x:v>
      </x:c>
      <x:c r="P12" s="29" t="n">
        <x:v>1418</x:v>
      </x:c>
      <x:c r="Q12" s="29" t="n">
        <x:v>1348</x:v>
      </x:c>
      <x:c r="R12" s="29" t="n">
        <x:v>1294</x:v>
      </x:c>
      <x:c r="S12" s="29" t="n">
        <x:v>1322</x:v>
      </x:c>
      <x:c r="T12" s="29" t="n">
        <x:v>1318</x:v>
      </x:c>
      <x:c r="U12" s="29" t="n">
        <x:v>1347</x:v>
      </x:c>
      <x:c r="V12" s="29" t="n">
        <x:v>1277</x:v>
      </x:c>
      <x:c r="W12" s="29" t="n">
        <x:v>1332</x:v>
      </x:c>
      <x:c r="X12" s="29" t="n">
        <x:v>1432</x:v>
      </x:c>
      <x:c r="Y12" s="29" t="n">
        <x:v>1269</x:v>
      </x:c>
    </x:row>
    <x:row r="13">
      <x:c r="A13" t="str">
        <x:v>SKU-032</x:v>
      </x:c>
      <x:c r="B13" s="29" t="n">
        <x:v>1350</x:v>
      </x:c>
      <x:c r="C13" s="29" t="n">
        <x:v>953</x:v>
      </x:c>
      <x:c r="D13" s="29" t="n">
        <x:v>879</x:v>
      </x:c>
      <x:c r="E13" s="29" t="n">
        <x:v>930</x:v>
      </x:c>
      <x:c r="F13" s="29" t="n">
        <x:v>535</x:v>
      </x:c>
      <x:c r="G13" s="29" t="n">
        <x:v>1167</x:v>
      </x:c>
      <x:c r="H13" s="29" t="n">
        <x:v>1021</x:v>
      </x:c>
      <x:c r="I13" s="29" t="n">
        <x:v>1289</x:v>
      </x:c>
      <x:c r="J13" s="29" t="n">
        <x:v>933</x:v>
      </x:c>
      <x:c r="K13" s="29" t="n">
        <x:v>1034</x:v>
      </x:c>
      <x:c r="L13" s="29" t="n">
        <x:v>469</x:v>
      </x:c>
      <x:c r="M13" s="29" t="n">
        <x:v>1140</x:v>
      </x:c>
      <x:c r="N13" s="29" t="n">
        <x:v>710</x:v>
      </x:c>
      <x:c r="O13" s="29" t="n">
        <x:v>619</x:v>
      </x:c>
      <x:c r="P13" s="29" t="n">
        <x:v>1173</x:v>
      </x:c>
      <x:c r="Q13" s="29" t="n">
        <x:v>617</x:v>
      </x:c>
      <x:c r="R13" s="29" t="n">
        <x:v>814</x:v>
      </x:c>
      <x:c r="S13" s="29" t="n">
        <x:v>785</x:v>
      </x:c>
      <x:c r="T13" s="29" t="n">
        <x:v>845</x:v>
      </x:c>
      <x:c r="U13" s="29" t="n">
        <x:v>1316</x:v>
      </x:c>
      <x:c r="V13" s="29" t="n">
        <x:v>1015</x:v>
      </x:c>
      <x:c r="W13" s="29" t="n">
        <x:v>831</x:v>
      </x:c>
      <x:c r="X13" s="29" t="n">
        <x:v>934</x:v>
      </x:c>
      <x:c r="Y13" s="29" t="n">
        <x:v>300</x:v>
      </x:c>
    </x:row>
    <x:row r="14">
      <x:c r="A14" t="str">
        <x:v>SKU-022</x:v>
      </x:c>
      <x:c r="B14" s="29" t="n">
        <x:v>1115</x:v>
      </x:c>
      <x:c r="C14" s="29" t="n">
        <x:v>1066</x:v>
      </x:c>
      <x:c r="D14" s="29" t="n">
        <x:v>1222</x:v>
      </x:c>
      <x:c r="E14" s="29" t="n">
        <x:v>1194</x:v>
      </x:c>
      <x:c r="F14" s="29" t="n">
        <x:v>1187</x:v>
      </x:c>
      <x:c r="G14" s="29" t="n">
        <x:v>1138</x:v>
      </x:c>
      <x:c r="H14" s="29" t="n">
        <x:v>978</x:v>
      </x:c>
      <x:c r="I14" s="29" t="n">
        <x:v>1048</x:v>
      </x:c>
      <x:c r="J14" s="29" t="n">
        <x:v>1144</x:v>
      </x:c>
      <x:c r="K14" s="29" t="n">
        <x:v>1012</x:v>
      </x:c>
      <x:c r="L14" s="29" t="n">
        <x:v>985</x:v>
      </x:c>
      <x:c r="M14" s="29" t="n">
        <x:v>952</x:v>
      </x:c>
      <x:c r="N14" s="29" t="n">
        <x:v>974</x:v>
      </x:c>
      <x:c r="O14" s="29" t="n">
        <x:v>1014</x:v>
      </x:c>
      <x:c r="P14" s="29" t="n">
        <x:v>1218</x:v>
      </x:c>
      <x:c r="Q14" s="29" t="n">
        <x:v>983</x:v>
      </x:c>
      <x:c r="R14" s="29" t="n">
        <x:v>1005</x:v>
      </x:c>
      <x:c r="S14" s="29" t="n">
        <x:v>1032</x:v>
      </x:c>
      <x:c r="T14" s="29" t="n">
        <x:v>1072</x:v>
      </x:c>
      <x:c r="U14" s="29" t="n">
        <x:v>1072</x:v>
      </x:c>
      <x:c r="V14" s="29" t="n">
        <x:v>1038</x:v>
      </x:c>
      <x:c r="W14" s="29" t="n">
        <x:v>1024</x:v>
      </x:c>
      <x:c r="X14" s="29" t="n">
        <x:v>1286</x:v>
      </x:c>
      <x:c r="Y14" s="29" t="n">
        <x:v>965</x:v>
      </x:c>
    </x:row>
    <x:row r="15">
      <x:c r="A15" t="str">
        <x:v>SKU-011</x:v>
      </x:c>
      <x:c r="B15" s="29" t="n">
        <x:v>1595</x:v>
      </x:c>
      <x:c r="C15" s="29" t="n">
        <x:v>1830</x:v>
      </x:c>
      <x:c r="D15" s="29" t="n">
        <x:v>1425</x:v>
      </x:c>
      <x:c r="E15" s="29" t="n">
        <x:v>1548</x:v>
      </x:c>
      <x:c r="F15" s="29" t="n">
        <x:v>1549</x:v>
      </x:c>
      <x:c r="G15" s="29" t="n">
        <x:v>1569</x:v>
      </x:c>
      <x:c r="H15" s="29" t="n">
        <x:v>1880</x:v>
      </x:c>
      <x:c r="I15" s="29" t="n">
        <x:v>1747</x:v>
      </x:c>
      <x:c r="J15" s="29" t="n">
        <x:v>1537</x:v>
      </x:c>
      <x:c r="K15" s="29" t="n">
        <x:v>2239</x:v>
      </x:c>
      <x:c r="L15" s="29" t="n">
        <x:v>2046</x:v>
      </x:c>
      <x:c r="M15" s="29" t="n">
        <x:v>1681</x:v>
      </x:c>
      <x:c r="N15" s="29" t="n">
        <x:v>1828</x:v>
      </x:c>
      <x:c r="O15" s="29" t="n">
        <x:v>1512</x:v>
      </x:c>
      <x:c r="P15" s="29" t="n">
        <x:v>1817</x:v>
      </x:c>
      <x:c r="Q15" s="29" t="n">
        <x:v>1755</x:v>
      </x:c>
      <x:c r="R15" s="29" t="n">
        <x:v>1738</x:v>
      </x:c>
      <x:c r="S15" s="29" t="n">
        <x:v>1461</x:v>
      </x:c>
      <x:c r="T15" s="29" t="n">
        <x:v>1633</x:v>
      </x:c>
      <x:c r="U15" s="29" t="n">
        <x:v>1545</x:v>
      </x:c>
      <x:c r="V15" s="29" t="n">
        <x:v>1417</x:v>
      </x:c>
      <x:c r="W15" s="29" t="n">
        <x:v>2023</x:v>
      </x:c>
      <x:c r="X15" s="29" t="n">
        <x:v>1920</x:v>
      </x:c>
      <x:c r="Y15" s="29" t="n">
        <x:v>1619</x:v>
      </x:c>
    </x:row>
    <x:row r="16">
      <x:c r="A16" t="str">
        <x:v>SKU-012</x:v>
      </x:c>
      <x:c r="B16" s="29" t="n">
        <x:v>1387</x:v>
      </x:c>
      <x:c r="C16" s="29" t="n">
        <x:v>1404</x:v>
      </x:c>
      <x:c r="D16" s="29" t="n">
        <x:v>1472</x:v>
      </x:c>
      <x:c r="E16" s="29" t="n">
        <x:v>1508</x:v>
      </x:c>
      <x:c r="F16" s="29" t="n">
        <x:v>1285</x:v>
      </x:c>
      <x:c r="G16" s="29" t="n">
        <x:v>1624</x:v>
      </x:c>
      <x:c r="H16" s="29" t="n">
        <x:v>1370</x:v>
      </x:c>
      <x:c r="I16" s="29" t="n">
        <x:v>1248</x:v>
      </x:c>
      <x:c r="J16" s="29" t="n">
        <x:v>1392</x:v>
      </x:c>
      <x:c r="K16" s="29" t="n">
        <x:v>1820</x:v>
      </x:c>
      <x:c r="L16" s="29" t="n">
        <x:v>1438</x:v>
      </x:c>
      <x:c r="M16" s="29" t="n">
        <x:v>1451</x:v>
      </x:c>
      <x:c r="N16" s="29" t="n">
        <x:v>1316</x:v>
      </x:c>
      <x:c r="O16" s="29" t="n">
        <x:v>1202</x:v>
      </x:c>
      <x:c r="P16" s="29" t="n">
        <x:v>1280</x:v>
      </x:c>
      <x:c r="Q16" s="29" t="n">
        <x:v>1186</x:v>
      </x:c>
      <x:c r="R16" s="29" t="n">
        <x:v>1271</x:v>
      </x:c>
      <x:c r="S16" s="29" t="n">
        <x:v>1301</x:v>
      </x:c>
      <x:c r="T16" s="29" t="n">
        <x:v>1411</x:v>
      </x:c>
      <x:c r="U16" s="29" t="n">
        <x:v>1178</x:v>
      </x:c>
      <x:c r="V16" s="29" t="n">
        <x:v>1428</x:v>
      </x:c>
      <x:c r="W16" s="29" t="n">
        <x:v>1636</x:v>
      </x:c>
      <x:c r="X16" s="29" t="n">
        <x:v>1604</x:v>
      </x:c>
      <x:c r="Y16" s="29" t="n">
        <x:v>1453</x:v>
      </x:c>
    </x:row>
    <x:row r="17">
      <x:c r="A17" t="str">
        <x:v>SKU-013</x:v>
      </x:c>
      <x:c r="B17" s="29" t="n">
        <x:v>1118</x:v>
      </x:c>
      <x:c r="C17" s="29" t="n">
        <x:v>1166</x:v>
      </x:c>
      <x:c r="D17" s="29" t="n">
        <x:v>1030</x:v>
      </x:c>
      <x:c r="E17" s="29" t="n">
        <x:v>1059</x:v>
      </x:c>
      <x:c r="F17" s="29" t="n">
        <x:v>826</x:v>
      </x:c>
      <x:c r="G17" s="29" t="n">
        <x:v>950</x:v>
      </x:c>
      <x:c r="H17" s="29" t="n">
        <x:v>880</x:v>
      </x:c>
      <x:c r="I17" s="29" t="n">
        <x:v>1148</x:v>
      </x:c>
      <x:c r="J17" s="29" t="n">
        <x:v>960</x:v>
      </x:c>
      <x:c r="K17" s="29" t="n">
        <x:v>1110</x:v>
      </x:c>
      <x:c r="L17" s="29" t="n">
        <x:v>1240</x:v>
      </x:c>
      <x:c r="M17" s="29" t="n">
        <x:v>1084</x:v>
      </x:c>
      <x:c r="N17" s="29" t="n">
        <x:v>1021</x:v>
      </x:c>
      <x:c r="O17" s="29" t="n">
        <x:v>991</x:v>
      </x:c>
      <x:c r="P17" s="29" t="n">
        <x:v>1040</x:v>
      </x:c>
      <x:c r="Q17" s="29" t="n">
        <x:v>1041</x:v>
      </x:c>
      <x:c r="R17" s="29" t="n">
        <x:v>1122</x:v>
      </x:c>
      <x:c r="S17" s="29" t="n">
        <x:v>1004</x:v>
      </x:c>
      <x:c r="T17" s="29" t="n">
        <x:v>1192</x:v>
      </x:c>
      <x:c r="U17" s="29" t="n">
        <x:v>991</x:v>
      </x:c>
      <x:c r="V17" s="29" t="n">
        <x:v>1176</x:v>
      </x:c>
      <x:c r="W17" s="29" t="n">
        <x:v>1056</x:v>
      </x:c>
      <x:c r="X17" s="29" t="n">
        <x:v>1381</x:v>
      </x:c>
      <x:c r="Y17" s="29" t="n">
        <x:v>1101</x:v>
      </x:c>
    </x:row>
    <x:row r="18">
      <x:c r="A18" t="str">
        <x:v>SKU-033</x:v>
      </x:c>
      <x:c r="B18" s="29" t="n">
        <x:v>774</x:v>
      </x:c>
      <x:c r="C18" s="29" t="n">
        <x:v>476</x:v>
      </x:c>
      <x:c r="D18" s="29" t="n">
        <x:v>618</x:v>
      </x:c>
      <x:c r="E18" s="29" t="n">
        <x:v>380</x:v>
      </x:c>
      <x:c r="F18" s="29" t="n">
        <x:v>762</x:v>
      </x:c>
      <x:c r="G18" s="29" t="n">
        <x:v>440</x:v>
      </x:c>
      <x:c r="H18" s="29" t="n">
        <x:v>776</x:v>
      </x:c>
      <x:c r="I18" s="29" t="n">
        <x:v>820</x:v>
      </x:c>
      <x:c r="J18" s="29" t="n">
        <x:v>417</x:v>
      </x:c>
      <x:c r="K18" s="29" t="n">
        <x:v>755</x:v>
      </x:c>
      <x:c r="L18" s="29" t="n">
        <x:v>507</x:v>
      </x:c>
      <x:c r="M18" s="29" t="n">
        <x:v>535</x:v>
      </x:c>
      <x:c r="N18" s="29" t="n">
        <x:v>344</x:v>
      </x:c>
      <x:c r="O18" s="29" t="n">
        <x:v>748</x:v>
      </x:c>
      <x:c r="P18" s="29" t="n">
        <x:v>260</x:v>
      </x:c>
      <x:c r="Q18" s="29" t="n">
        <x:v>604</x:v>
      </x:c>
      <x:c r="R18" s="29" t="n">
        <x:v>622</x:v>
      </x:c>
      <x:c r="S18" s="29" t="n">
        <x:v>552</x:v>
      </x:c>
      <x:c r="T18" s="29" t="n">
        <x:v>636</x:v>
      </x:c>
      <x:c r="U18" s="29" t="n">
        <x:v>655</x:v>
      </x:c>
      <x:c r="V18" s="29" t="n">
        <x:v>652</x:v>
      </x:c>
      <x:c r="W18" s="29" t="n">
        <x:v>578</x:v>
      </x:c>
      <x:c r="X18" s="29" t="n">
        <x:v>520</x:v>
      </x:c>
      <x:c r="Y18" s="29" t="n">
        <x:v>451</x:v>
      </x:c>
    </x:row>
    <x:row r="19">
      <x:c r="A19" t="str">
        <x:v>SKU-023</x:v>
      </x:c>
      <x:c r="B19" s="29" t="n">
        <x:v>871</x:v>
      </x:c>
      <x:c r="C19" s="29" t="n">
        <x:v>607</x:v>
      </x:c>
      <x:c r="D19" s="29" t="n">
        <x:v>596</x:v>
      </x:c>
      <x:c r="E19" s="29" t="n">
        <x:v>651</x:v>
      </x:c>
      <x:c r="F19" s="29" t="n">
        <x:v>864</x:v>
      </x:c>
      <x:c r="G19" s="29" t="n">
        <x:v>670</x:v>
      </x:c>
      <x:c r="H19" s="29" t="n">
        <x:v>438</x:v>
      </x:c>
      <x:c r="I19" s="29" t="n">
        <x:v>1041</x:v>
      </x:c>
      <x:c r="J19" s="29" t="n">
        <x:v>634</x:v>
      </x:c>
      <x:c r="K19" s="29" t="n">
        <x:v>1134</x:v>
      </x:c>
      <x:c r="L19" s="29" t="n">
        <x:v>747</x:v>
      </x:c>
      <x:c r="M19" s="29" t="n">
        <x:v>1058</x:v>
      </x:c>
      <x:c r="N19" s="29" t="n">
        <x:v>1005</x:v>
      </x:c>
      <x:c r="O19" s="29" t="n">
        <x:v>458</x:v>
      </x:c>
      <x:c r="P19" s="29" t="n">
        <x:v>478</x:v>
      </x:c>
      <x:c r="Q19" s="29" t="n">
        <x:v>763</x:v>
      </x:c>
      <x:c r="R19" s="29" t="n">
        <x:v>859</x:v>
      </x:c>
      <x:c r="S19" s="29" t="n">
        <x:v>878</x:v>
      </x:c>
      <x:c r="T19" s="29" t="n">
        <x:v>344</x:v>
      </x:c>
      <x:c r="U19" s="29" t="n">
        <x:v>503</x:v>
      </x:c>
      <x:c r="V19" s="29" t="n">
        <x:v>1085</x:v>
      </x:c>
      <x:c r="W19" s="29" t="n">
        <x:v>442</x:v>
      </x:c>
      <x:c r="X19" s="29" t="n">
        <x:v>756</x:v>
      </x:c>
      <x:c r="Y19" s="29" t="n">
        <x:v>755</x:v>
      </x:c>
    </x:row>
    <x:row r="20">
      <x:c r="A20" t="str">
        <x:v>SKU-002</x:v>
      </x:c>
      <x:c r="B20" s="29" t="n">
        <x:v>1705</x:v>
      </x:c>
      <x:c r="C20" s="29" t="n">
        <x:v>1593</x:v>
      </x:c>
      <x:c r="D20" s="29" t="n">
        <x:v>1632</x:v>
      </x:c>
      <x:c r="E20" s="29" t="n">
        <x:v>1885</x:v>
      </x:c>
      <x:c r="F20" s="29" t="n">
        <x:v>2518</x:v>
      </x:c>
      <x:c r="G20" s="29" t="n">
        <x:v>2042</x:v>
      </x:c>
      <x:c r="H20" s="29" t="n">
        <x:v>1345</x:v>
      </x:c>
      <x:c r="I20" s="29" t="n">
        <x:v>1652</x:v>
      </x:c>
      <x:c r="J20" s="29" t="n">
        <x:v>1671</x:v>
      </x:c>
      <x:c r="K20" s="29" t="n">
        <x:v>1581</x:v>
      </x:c>
      <x:c r="L20" s="29" t="n">
        <x:v>1362</x:v>
      </x:c>
      <x:c r="M20" s="29" t="n">
        <x:v>1798</x:v>
      </x:c>
      <x:c r="N20" s="29" t="n">
        <x:v>1637</x:v>
      </x:c>
      <x:c r="O20" s="29" t="n">
        <x:v>1762</x:v>
      </x:c>
      <x:c r="P20" s="29" t="n">
        <x:v>1540</x:v>
      </x:c>
      <x:c r="Q20" s="29" t="n">
        <x:v>1966</x:v>
      </x:c>
      <x:c r="R20" s="29" t="n">
        <x:v>2101</x:v>
      </x:c>
      <x:c r="S20" s="29" t="n">
        <x:v>1975</x:v>
      </x:c>
      <x:c r="T20" s="29" t="n">
        <x:v>1489</x:v>
      </x:c>
      <x:c r="U20" s="29" t="n">
        <x:v>1529</x:v>
      </x:c>
      <x:c r="V20" s="29" t="n">
        <x:v>1850</x:v>
      </x:c>
      <x:c r="W20" s="29" t="n">
        <x:v>1662</x:v>
      </x:c>
      <x:c r="X20" s="29" t="n">
        <x:v>1687</x:v>
      </x:c>
      <x:c r="Y20" s="29" t="n">
        <x:v>1377</x:v>
      </x:c>
    </x:row>
    <x:row r="21">
      <x:c r="A21" t="str">
        <x:v>SKU-014</x:v>
      </x:c>
      <x:c r="B21" s="29" t="n">
        <x:v>992</x:v>
      </x:c>
      <x:c r="C21" s="29" t="n">
        <x:v>652</x:v>
      </x:c>
      <x:c r="D21" s="29" t="n">
        <x:v>668</x:v>
      </x:c>
      <x:c r="E21" s="29" t="n">
        <x:v>685</x:v>
      </x:c>
      <x:c r="F21" s="29" t="n">
        <x:v>749</x:v>
      </x:c>
      <x:c r="G21" s="29" t="n">
        <x:v>996</x:v>
      </x:c>
      <x:c r="H21" s="29" t="n">
        <x:v>666</x:v>
      </x:c>
      <x:c r="I21" s="29" t="n">
        <x:v>1111</x:v>
      </x:c>
      <x:c r="J21" s="29" t="n">
        <x:v>1116</x:v>
      </x:c>
      <x:c r="K21" s="29" t="n">
        <x:v>797</x:v>
      </x:c>
      <x:c r="L21" s="29" t="n">
        <x:v>1374</x:v>
      </x:c>
      <x:c r="M21" s="29" t="n">
        <x:v>811</x:v>
      </x:c>
      <x:c r="N21" s="29" t="n">
        <x:v>650</x:v>
      </x:c>
      <x:c r="O21" s="29" t="n">
        <x:v>921</x:v>
      </x:c>
      <x:c r="P21" s="29" t="n">
        <x:v>833</x:v>
      </x:c>
      <x:c r="Q21" s="29" t="n">
        <x:v>933</x:v>
      </x:c>
      <x:c r="R21" s="29" t="n">
        <x:v>1038</x:v>
      </x:c>
      <x:c r="S21" s="29" t="n">
        <x:v>724</x:v>
      </x:c>
      <x:c r="T21" s="29" t="n">
        <x:v>805</x:v>
      </x:c>
      <x:c r="U21" s="29" t="n">
        <x:v>748</x:v>
      </x:c>
      <x:c r="V21" s="29" t="n">
        <x:v>934</x:v>
      </x:c>
      <x:c r="W21" s="29" t="n">
        <x:v>582</x:v>
      </x:c>
      <x:c r="X21" s="29" t="n">
        <x:v>1241</x:v>
      </x:c>
      <x:c r="Y21" s="29" t="n">
        <x:v>598</x:v>
      </x:c>
    </x:row>
    <x:row r="22">
      <x:c r="A22" t="str">
        <x:v>SKU-034</x:v>
      </x:c>
      <x:c r="B22" s="29" t="n">
        <x:v>442</x:v>
      </x:c>
      <x:c r="C22" s="29" t="n">
        <x:v>407</x:v>
      </x:c>
      <x:c r="D22" s="29" t="n">
        <x:v>427</x:v>
      </x:c>
      <x:c r="E22" s="29" t="n">
        <x:v>480</x:v>
      </x:c>
      <x:c r="F22" s="29" t="n">
        <x:v>511</x:v>
      </x:c>
      <x:c r="G22" s="29" t="n">
        <x:v>489</x:v>
      </x:c>
      <x:c r="H22" s="29" t="n">
        <x:v>319</x:v>
      </x:c>
      <x:c r="I22" s="29" t="n">
        <x:v>710</x:v>
      </x:c>
      <x:c r="J22" s="29" t="n">
        <x:v>262</x:v>
      </x:c>
      <x:c r="K22" s="29" t="n">
        <x:v>287</x:v>
      </x:c>
      <x:c r="L22" s="29" t="n">
        <x:v>545</x:v>
      </x:c>
      <x:c r="M22" s="29" t="n">
        <x:v>261</x:v>
      </x:c>
      <x:c r="N22" s="29" t="n">
        <x:v>478</x:v>
      </x:c>
      <x:c r="O22" s="29" t="n">
        <x:v>382</x:v>
      </x:c>
      <x:c r="P22" s="29" t="n">
        <x:v>507</x:v>
      </x:c>
      <x:c r="Q22" s="29" t="n">
        <x:v>660</x:v>
      </x:c>
      <x:c r="R22" s="29" t="n">
        <x:v>418</x:v>
      </x:c>
      <x:c r="S22" s="29" t="n">
        <x:v>427</x:v>
      </x:c>
      <x:c r="T22" s="29" t="n">
        <x:v>665</x:v>
      </x:c>
      <x:c r="U22" s="29" t="n">
        <x:v>604</x:v>
      </x:c>
      <x:c r="V22" s="29" t="n">
        <x:v>306</x:v>
      </x:c>
      <x:c r="W22" s="29" t="n">
        <x:v>313</x:v>
      </x:c>
      <x:c r="X22" s="29" t="n">
        <x:v>490</x:v>
      </x:c>
      <x:c r="Y22" s="29" t="n">
        <x:v>580</x:v>
      </x:c>
    </x:row>
    <x:row r="23">
      <x:c r="A23" t="str">
        <x:v>SKU-024</x:v>
      </x:c>
      <x:c r="B23" s="29" t="n">
        <x:v>644</x:v>
      </x:c>
      <x:c r="C23" s="29" t="n">
        <x:v>540</x:v>
      </x:c>
      <x:c r="D23" s="29" t="n">
        <x:v>411</x:v>
      </x:c>
      <x:c r="E23" s="29" t="n">
        <x:v>609</x:v>
      </x:c>
      <x:c r="F23" s="29" t="n">
        <x:v>569</x:v>
      </x:c>
      <x:c r="G23" s="29" t="n">
        <x:v>650</x:v>
      </x:c>
      <x:c r="H23" s="29" t="n">
        <x:v>544</x:v>
      </x:c>
      <x:c r="I23" s="29" t="n">
        <x:v>654</x:v>
      </x:c>
      <x:c r="J23" s="29" t="n">
        <x:v>655</x:v>
      </x:c>
      <x:c r="K23" s="29" t="n">
        <x:v>452</x:v>
      </x:c>
      <x:c r="L23" s="29" t="n">
        <x:v>221</x:v>
      </x:c>
      <x:c r="M23" s="29" t="n">
        <x:v>662</x:v>
      </x:c>
      <x:c r="N23" s="29" t="n">
        <x:v>749</x:v>
      </x:c>
      <x:c r="O23" s="29" t="n">
        <x:v>684</x:v>
      </x:c>
      <x:c r="P23" s="29" t="n">
        <x:v>685</x:v>
      </x:c>
      <x:c r="Q23" s="29" t="n">
        <x:v>575</x:v>
      </x:c>
      <x:c r="R23" s="29" t="n">
        <x:v>682</x:v>
      </x:c>
      <x:c r="S23" s="29" t="n">
        <x:v>702</x:v>
      </x:c>
      <x:c r="T23" s="29" t="n">
        <x:v>546</x:v>
      </x:c>
      <x:c r="U23" s="29" t="n">
        <x:v>351</x:v>
      </x:c>
      <x:c r="V23" s="29" t="n">
        <x:v>580</x:v>
      </x:c>
      <x:c r="W23" s="29" t="n">
        <x:v>814</x:v>
      </x:c>
      <x:c r="X23" s="29" t="n">
        <x:v>531</x:v>
      </x:c>
      <x:c r="Y23" s="29" t="n">
        <x:v>167</x:v>
      </x:c>
    </x:row>
    <x:row r="24">
      <x:c r="A24" t="str">
        <x:v>SKU-003</x:v>
      </x:c>
      <x:c r="B24" s="29" t="n">
        <x:v>1409</x:v>
      </x:c>
      <x:c r="C24" s="29" t="n">
        <x:v>1448</x:v>
      </x:c>
      <x:c r="D24" s="29" t="n">
        <x:v>1144</x:v>
      </x:c>
      <x:c r="E24" s="29" t="n">
        <x:v>1490</x:v>
      </x:c>
      <x:c r="F24" s="29" t="n">
        <x:v>1744</x:v>
      </x:c>
      <x:c r="G24" s="29" t="n">
        <x:v>1754</x:v>
      </x:c>
      <x:c r="H24" s="29" t="n">
        <x:v>1526</x:v>
      </x:c>
      <x:c r="I24" s="29" t="n">
        <x:v>1414</x:v>
      </x:c>
      <x:c r="J24" s="29" t="n">
        <x:v>1275</x:v>
      </x:c>
      <x:c r="K24" s="29" t="n">
        <x:v>1264</x:v>
      </x:c>
      <x:c r="L24" s="29" t="n">
        <x:v>1302</x:v>
      </x:c>
      <x:c r="M24" s="29" t="n">
        <x:v>1196</x:v>
      </x:c>
      <x:c r="N24" s="29" t="n">
        <x:v>1161</x:v>
      </x:c>
      <x:c r="O24" s="29" t="n">
        <x:v>1416</x:v>
      </x:c>
      <x:c r="P24" s="29" t="n">
        <x:v>1296</x:v>
      </x:c>
      <x:c r="Q24" s="29" t="n">
        <x:v>1523</x:v>
      </x:c>
      <x:c r="R24" s="29" t="n">
        <x:v>1642</x:v>
      </x:c>
      <x:c r="S24" s="29" t="n">
        <x:v>1805</x:v>
      </x:c>
      <x:c r="T24" s="29" t="n">
        <x:v>1259</x:v>
      </x:c>
      <x:c r="U24" s="29" t="n">
        <x:v>1353</x:v>
      </x:c>
      <x:c r="V24" s="29" t="n">
        <x:v>1373</x:v>
      </x:c>
      <x:c r="W24" s="29" t="n">
        <x:v>1428</x:v>
      </x:c>
      <x:c r="X24" s="29" t="n">
        <x:v>1446</x:v>
      </x:c>
      <x:c r="Y24" s="29" t="n">
        <x:v>1285</x:v>
      </x:c>
    </x:row>
    <x:row r="25">
      <x:c r="A25" t="str">
        <x:v>SKU-004</x:v>
      </x:c>
      <x:c r="B25" s="29" t="n">
        <x:v>1089</x:v>
      </x:c>
      <x:c r="C25" s="29" t="n">
        <x:v>992</x:v>
      </x:c>
      <x:c r="D25" s="29" t="n">
        <x:v>990</x:v>
      </x:c>
      <x:c r="E25" s="29" t="n">
        <x:v>1475</x:v>
      </x:c>
      <x:c r="F25" s="29" t="n">
        <x:v>1351</x:v>
      </x:c>
      <x:c r="G25" s="29" t="n">
        <x:v>1280</x:v>
      </x:c>
      <x:c r="H25" s="29" t="n">
        <x:v>1078</x:v>
      </x:c>
      <x:c r="I25" s="29" t="n">
        <x:v>1051</x:v>
      </x:c>
      <x:c r="J25" s="29" t="n">
        <x:v>1125</x:v>
      </x:c>
      <x:c r="K25" s="29" t="n">
        <x:v>1023</x:v>
      </x:c>
      <x:c r="L25" s="29" t="n">
        <x:v>1122</x:v>
      </x:c>
      <x:c r="M25" s="29" t="n">
        <x:v>1098</x:v>
      </x:c>
      <x:c r="N25" s="29" t="n">
        <x:v>988</x:v>
      </x:c>
      <x:c r="O25" s="29" t="n">
        <x:v>1026</x:v>
      </x:c>
      <x:c r="P25" s="29" t="n">
        <x:v>1099</x:v>
      </x:c>
      <x:c r="Q25" s="29" t="n">
        <x:v>1355</x:v>
      </x:c>
      <x:c r="R25" s="29" t="n">
        <x:v>1423</x:v>
      </x:c>
      <x:c r="S25" s="29" t="n">
        <x:v>1292</x:v>
      </x:c>
      <x:c r="T25" s="29" t="n">
        <x:v>1106</x:v>
      </x:c>
      <x:c r="U25" s="29" t="n">
        <x:v>1022</x:v>
      </x:c>
      <x:c r="V25" s="29" t="n">
        <x:v>1009</x:v>
      </x:c>
      <x:c r="W25" s="29" t="n">
        <x:v>1060</x:v>
      </x:c>
      <x:c r="X25" s="29" t="n">
        <x:v>988</x:v>
      </x:c>
      <x:c r="Y25" s="29" t="n">
        <x:v>996</x:v>
      </x:c>
    </x:row>
    <x:row r="26">
      <x:c r="A26" t="str">
        <x:v>SKU-001</x:v>
      </x:c>
      <x:c r="B26" s="29" t="n">
        <x:v>2079</x:v>
      </x:c>
      <x:c r="C26" s="29" t="n">
        <x:v>1860</x:v>
      </x:c>
      <x:c r="D26" s="29" t="n">
        <x:v>1948</x:v>
      </x:c>
      <x:c r="E26" s="29" t="n">
        <x:v>2647</x:v>
      </x:c>
      <x:c r="F26" s="29" t="n">
        <x:v>2638</x:v>
      </x:c>
      <x:c r="G26" s="29" t="n">
        <x:v>2584</x:v>
      </x:c>
      <x:c r="H26" s="29" t="n">
        <x:v>2057</x:v>
      </x:c>
      <x:c r="I26" s="29" t="n">
        <x:v>2260</x:v>
      </x:c>
      <x:c r="J26" s="29" t="n">
        <x:v>2003</x:v>
      </x:c>
      <x:c r="K26" s="29" t="n">
        <x:v>2061</x:v>
      </x:c>
      <x:c r="L26" s="29" t="n">
        <x:v>2281</x:v>
      </x:c>
      <x:c r="M26" s="29" t="n">
        <x:v>1812</x:v>
      </x:c>
      <x:c r="N26" s="29" t="n">
        <x:v>2077</x:v>
      </x:c>
      <x:c r="O26" s="29" t="n">
        <x:v>2049</x:v>
      </x:c>
      <x:c r="P26" s="29" t="n">
        <x:v>2122</x:v>
      </x:c>
      <x:c r="Q26" s="29" t="n">
        <x:v>2502</x:v>
      </x:c>
      <x:c r="R26" s="29" t="n">
        <x:v>2301</x:v>
      </x:c>
      <x:c r="S26" s="29" t="n">
        <x:v>2294</x:v>
      </x:c>
      <x:c r="T26" s="29" t="n">
        <x:v>1934</x:v>
      </x:c>
      <x:c r="U26" s="29" t="n">
        <x:v>1923</x:v>
      </x:c>
      <x:c r="V26" s="29" t="n">
        <x:v>1917</x:v>
      </x:c>
      <x:c r="W26" s="29" t="n">
        <x:v>1681</x:v>
      </x:c>
      <x:c r="X26" s="29" t="n">
        <x:v>1828</x:v>
      </x:c>
      <x:c r="Y26" s="29" t="n">
        <x:v>2012</x:v>
      </x:c>
    </x:row>
    <x:row r="27">
      <x:c r="A27" t="str">
        <x:v>SKU-005</x:v>
      </x:c>
      <x:c r="B27" s="29" t="n">
        <x:v>1073</x:v>
      </x:c>
      <x:c r="C27" s="29" t="n">
        <x:v>814</x:v>
      </x:c>
      <x:c r="D27" s="29" t="n">
        <x:v>461</x:v>
      </x:c>
      <x:c r="E27" s="29" t="n">
        <x:v>1059</x:v>
      </x:c>
      <x:c r="F27" s="29" t="n">
        <x:v>884</x:v>
      </x:c>
      <x:c r="G27" s="29" t="n">
        <x:v>908</x:v>
      </x:c>
      <x:c r="H27" s="29" t="n">
        <x:v>469</x:v>
      </x:c>
      <x:c r="I27" s="29" t="n">
        <x:v>815</x:v>
      </x:c>
      <x:c r="J27" s="29" t="n">
        <x:v>1156</x:v>
      </x:c>
      <x:c r="K27" s="29" t="n">
        <x:v>1000</x:v>
      </x:c>
      <x:c r="L27" s="29" t="n">
        <x:v>741</x:v>
      </x:c>
      <x:c r="M27" s="29" t="n">
        <x:v>637</x:v>
      </x:c>
      <x:c r="N27" s="29" t="n">
        <x:v>970</x:v>
      </x:c>
      <x:c r="O27" s="29" t="n">
        <x:v>875</x:v>
      </x:c>
      <x:c r="P27" s="29" t="n">
        <x:v>564</x:v>
      </x:c>
      <x:c r="Q27" s="29" t="n">
        <x:v>708</x:v>
      </x:c>
      <x:c r="R27" s="29" t="n">
        <x:v>1265</x:v>
      </x:c>
      <x:c r="S27" s="29" t="n">
        <x:v>1244</x:v>
      </x:c>
      <x:c r="T27" s="29" t="n">
        <x:v>647</x:v>
      </x:c>
      <x:c r="U27" s="29" t="n">
        <x:v>732</x:v>
      </x:c>
      <x:c r="V27" s="29" t="n">
        <x:v>469</x:v>
      </x:c>
      <x:c r="W27" s="29" t="n">
        <x:v>768</x:v>
      </x:c>
      <x:c r="X27" s="29" t="n">
        <x:v>761</x:v>
      </x:c>
      <x:c r="Y27" s="29" t="n">
        <x:v>669</x:v>
      </x:c>
    </x:row>
    <x:row r="28">
      <x:c r="A28" t="str">
        <x:v>SKU-015</x:v>
      </x:c>
      <x:c r="B28" s="29" t="n">
        <x:v>783</x:v>
      </x:c>
      <x:c r="C28" s="29" t="n">
        <x:v>109</x:v>
      </x:c>
      <x:c r="D28" s="29" t="n">
        <x:v>498</x:v>
      </x:c>
      <x:c r="E28" s="29" t="n">
        <x:v>737</x:v>
      </x:c>
      <x:c r="F28" s="29" t="n">
        <x:v>585</x:v>
      </x:c>
      <x:c r="G28" s="29" t="n">
        <x:v>205</x:v>
      </x:c>
      <x:c r="H28" s="29" t="n">
        <x:v>581</x:v>
      </x:c>
      <x:c r="I28" s="29" t="n">
        <x:v>489</x:v>
      </x:c>
      <x:c r="J28" s="29" t="n">
        <x:v>750</x:v>
      </x:c>
      <x:c r="K28" s="29" t="n">
        <x:v>709</x:v>
      </x:c>
      <x:c r="L28" s="29" t="n">
        <x:v>392</x:v>
      </x:c>
      <x:c r="M28" s="29" t="n">
        <x:v>688</x:v>
      </x:c>
      <x:c r="N28" s="29" t="n">
        <x:v>368</x:v>
      </x:c>
      <x:c r="O28" s="29" t="n">
        <x:v>543</x:v>
      </x:c>
      <x:c r="P28" s="29" t="n">
        <x:v>549</x:v>
      </x:c>
      <x:c r="Q28" s="29" t="n">
        <x:v>633</x:v>
      </x:c>
      <x:c r="R28" s="29" t="n">
        <x:v>453</x:v>
      </x:c>
      <x:c r="S28" s="29" t="n">
        <x:v>717</x:v>
      </x:c>
      <x:c r="T28" s="29" t="n">
        <x:v>314</x:v>
      </x:c>
      <x:c r="U28" s="29" t="n">
        <x:v>470</x:v>
      </x:c>
      <x:c r="V28" s="29" t="n">
        <x:v>366</x:v>
      </x:c>
      <x:c r="W28" s="29" t="n">
        <x:v>465</x:v>
      </x:c>
      <x:c r="X28" s="29" t="n">
        <x:v>438</x:v>
      </x:c>
      <x:c r="Y28" s="29" t="n">
        <x:v>668</x:v>
      </x:c>
    </x:row>
    <x:row r="29">
      <x:c r="A29" t="str">
        <x:v>SKU-025</x:v>
      </x:c>
      <x:c r="B29" s="29" t="n">
        <x:v>381</x:v>
      </x:c>
      <x:c r="C29" s="29" t="n">
        <x:v>380</x:v>
      </x:c>
      <x:c r="D29" s="29" t="n">
        <x:v>559</x:v>
      </x:c>
      <x:c r="E29" s="29" t="n">
        <x:v>290</x:v>
      </x:c>
      <x:c r="F29" s="29" t="n">
        <x:v>359</x:v>
      </x:c>
      <x:c r="G29" s="29" t="n">
        <x:v>383</x:v>
      </x:c>
      <x:c r="H29" s="29" t="n">
        <x:v>315</x:v>
      </x:c>
      <x:c r="I29" s="29" t="n">
        <x:v>410</x:v>
      </x:c>
      <x:c r="J29" s="29" t="n">
        <x:v>494</x:v>
      </x:c>
      <x:c r="K29" s="29" t="n">
        <x:v>407</x:v>
      </x:c>
      <x:c r="L29" s="29" t="n">
        <x:v>428</x:v>
      </x:c>
      <x:c r="M29" s="29" t="n">
        <x:v>583</x:v>
      </x:c>
      <x:c r="N29" s="29" t="n">
        <x:v>289</x:v>
      </x:c>
      <x:c r="O29" s="29" t="n">
        <x:v>263</x:v>
      </x:c>
      <x:c r="P29" s="29" t="n">
        <x:v>365</x:v>
      </x:c>
      <x:c r="Q29" s="29" t="n">
        <x:v>454</x:v>
      </x:c>
      <x:c r="R29" s="29" t="n">
        <x:v>402</x:v>
      </x:c>
      <x:c r="S29" s="29" t="n">
        <x:v>533</x:v>
      </x:c>
      <x:c r="T29" s="29" t="n">
        <x:v>429</x:v>
      </x:c>
      <x:c r="U29" s="29" t="n">
        <x:v>342</x:v>
      </x:c>
      <x:c r="V29" s="29" t="n">
        <x:v>251</x:v>
      </x:c>
      <x:c r="W29" s="29" t="n">
        <x:v>382</x:v>
      </x:c>
      <x:c r="X29" s="29" t="n">
        <x:v>380</x:v>
      </x:c>
      <x:c r="Y29" s="29" t="n">
        <x:v>258</x:v>
      </x:c>
    </x:row>
    <x:row r="30">
      <x:c r="A30" t="str">
        <x:v>SKU-006</x:v>
      </x:c>
      <x:c r="B30" s="29" t="n">
        <x:v>753</x:v>
      </x:c>
      <x:c r="C30" s="29" t="n">
        <x:v>539</x:v>
      </x:c>
      <x:c r="D30" s="29" t="n">
        <x:v>673</x:v>
      </x:c>
      <x:c r="E30" s="29" t="n">
        <x:v>587</x:v>
      </x:c>
      <x:c r="F30" s="29" t="n">
        <x:v>867</x:v>
      </x:c>
      <x:c r="G30" s="29" t="n">
        <x:v>959</x:v>
      </x:c>
      <x:c r="H30" s="29" t="n">
        <x:v>502</x:v>
      </x:c>
      <x:c r="I30" s="29" t="n">
        <x:v>858</x:v>
      </x:c>
      <x:c r="J30" s="29" t="n">
        <x:v>554</x:v>
      </x:c>
      <x:c r="K30" s="29" t="n">
        <x:v>505</x:v>
      </x:c>
      <x:c r="L30" s="29" t="n">
        <x:v>451</x:v>
      </x:c>
      <x:c r="M30" s="29" t="n">
        <x:v>810</x:v>
      </x:c>
      <x:c r="N30" s="29" t="n">
        <x:v>659</x:v>
      </x:c>
      <x:c r="O30" s="29" t="n">
        <x:v>592</x:v>
      </x:c>
      <x:c r="P30" s="29" t="n">
        <x:v>788</x:v>
      </x:c>
      <x:c r="Q30" s="29" t="n">
        <x:v>781</x:v>
      </x:c>
      <x:c r="R30" s="29" t="n">
        <x:v>1016</x:v>
      </x:c>
      <x:c r="S30" s="29" t="n">
        <x:v>643</x:v>
      </x:c>
      <x:c r="T30" s="29" t="n">
        <x:v>635</x:v>
      </x:c>
      <x:c r="U30" s="29" t="n">
        <x:v>490</x:v>
      </x:c>
      <x:c r="V30" s="29" t="n">
        <x:v>730</x:v>
      </x:c>
      <x:c r="W30" s="29" t="n">
        <x:v>102</x:v>
      </x:c>
      <x:c r="X30" s="29" t="n">
        <x:v>602</x:v>
      </x:c>
      <x:c r="Y30" s="29" t="n">
        <x:v>456</x:v>
      </x:c>
    </x:row>
    <x:row r="31">
      <x:c r="A31" t="str">
        <x:v>SKU-026</x:v>
      </x:c>
      <x:c r="B31" s="29" t="n">
        <x:v>346</x:v>
      </x:c>
      <x:c r="C31" s="29" t="n">
        <x:v>507</x:v>
      </x:c>
      <x:c r="D31" s="29" t="n">
        <x:v>401</x:v>
      </x:c>
      <x:c r="E31" s="29" t="n">
        <x:v>143</x:v>
      </x:c>
      <x:c r="F31" s="29" t="n">
        <x:v>286</x:v>
      </x:c>
      <x:c r="G31" s="29" t="n">
        <x:v>8</x:v>
      </x:c>
      <x:c r="H31" s="29" t="n">
        <x:v>117</x:v>
      </x:c>
      <x:c r="I31" s="29" t="n">
        <x:v>616</x:v>
      </x:c>
      <x:c r="J31" s="29" t="n">
        <x:v>135</x:v>
      </x:c>
      <x:c r="K31" s="29" t="n">
        <x:v>427</x:v>
      </x:c>
      <x:c r="L31" s="29" t="n">
        <x:v>411</x:v>
      </x:c>
      <x:c r="M31" s="29" t="n">
        <x:v>52</x:v>
      </x:c>
      <x:c r="N31" s="29" t="n">
        <x:v>162</x:v>
      </x:c>
      <x:c r="O31" s="29" t="n">
        <x:v>49</x:v>
      </x:c>
      <x:c r="P31" s="29" t="n">
        <x:v>665</x:v>
      </x:c>
      <x:c r="Q31" s="29" t="n">
        <x:v>646</x:v>
      </x:c>
      <x:c r="R31" s="29" t="n">
        <x:v>85</x:v>
      </x:c>
      <x:c r="S31" s="29" t="n">
        <x:v>16</x:v>
      </x:c>
      <x:c r="T31" s="29" t="n">
        <x:v>95</x:v>
      </x:c>
      <x:c r="U31" s="29" t="n">
        <x:v>550</x:v>
      </x:c>
      <x:c r="V31" s="29" t="n">
        <x:v>87</x:v>
      </x:c>
      <x:c r="W31" s="29" t="n">
        <x:v>519</x:v>
      </x:c>
      <x:c r="X31" s="29" t="n">
        <x:v>757</x:v>
      </x:c>
      <x:c r="Y31" s="29" t="n">
        <x:v>98</x:v>
      </x:c>
    </x:row>
    <x:row r="32">
      <x:c r="A32" t="str">
        <x:v>SKU-035</x:v>
      </x:c>
      <x:c r="B32" s="29" t="n">
        <x:v>80</x:v>
      </x:c>
      <x:c r="C32" s="29" t="n">
        <x:v>329</x:v>
      </x:c>
      <x:c r="D32" s="29" t="n">
        <x:v>195</x:v>
      </x:c>
      <x:c r="E32" s="29" t="n">
        <x:v>70</x:v>
      </x:c>
      <x:c r="F32" s="29" t="n">
        <x:v>107</x:v>
      </x:c>
      <x:c r="G32" s="29" t="n">
        <x:v>212</x:v>
      </x:c>
      <x:c r="H32" s="29" t="n">
        <x:v>130</x:v>
      </x:c>
      <x:c r="I32" s="29" t="n">
        <x:v>123</x:v>
      </x:c>
      <x:c r="J32" s="29" t="n">
        <x:v>588</x:v>
      </x:c>
      <x:c r="K32" s="29" t="n">
        <x:v>82</x:v>
      </x:c>
      <x:c r="L32" s="29" t="n">
        <x:v>66</x:v>
      </x:c>
      <x:c r="M32" s="29" t="n">
        <x:v>357</x:v>
      </x:c>
      <x:c r="N32" s="29" t="n">
        <x:v>277</x:v>
      </x:c>
      <x:c r="O32" s="29" t="n">
        <x:v>857</x:v>
      </x:c>
      <x:c r="P32" s="29" t="n">
        <x:v>172</x:v>
      </x:c>
      <x:c r="Q32" s="29" t="n">
        <x:v>395</x:v>
      </x:c>
      <x:c r="R32" s="29" t="n">
        <x:v>8</x:v>
      </x:c>
      <x:c r="S32" s="29" t="n">
        <x:v>72</x:v>
      </x:c>
      <x:c r="T32" s="29" t="n">
        <x:v>340</x:v>
      </x:c>
      <x:c r="U32" s="29" t="n">
        <x:v>210</x:v>
      </x:c>
      <x:c r="V32" s="29" t="n">
        <x:v>186</x:v>
      </x:c>
      <x:c r="W32" s="29" t="n">
        <x:v>222</x:v>
      </x:c>
      <x:c r="X32" s="29" t="n">
        <x:v>177</x:v>
      </x:c>
      <x:c r="Y32" s="29" t="n">
        <x:v>71</x:v>
      </x:c>
    </x:row>
    <x:row r="33">
      <x:c r="A33" t="str">
        <x:v>SKU-016</x:v>
      </x:c>
      <x:c r="B33" s="29" t="n">
        <x:v>411</x:v>
      </x:c>
      <x:c r="C33" s="29" t="n">
        <x:v>315</x:v>
      </x:c>
      <x:c r="D33" s="29" t="n">
        <x:v>283</x:v>
      </x:c>
      <x:c r="E33" s="29" t="n">
        <x:v>355</x:v>
      </x:c>
      <x:c r="F33" s="29" t="n">
        <x:v>364</x:v>
      </x:c>
      <x:c r="G33" s="29" t="n">
        <x:v>324</x:v>
      </x:c>
      <x:c r="H33" s="29" t="n">
        <x:v>338</x:v>
      </x:c>
      <x:c r="I33" s="29" t="n">
        <x:v>350</x:v>
      </x:c>
      <x:c r="J33" s="29" t="n">
        <x:v>439</x:v>
      </x:c>
      <x:c r="K33" s="29" t="n">
        <x:v>416</x:v>
      </x:c>
      <x:c r="L33" s="29" t="n">
        <x:v>337</x:v>
      </x:c>
      <x:c r="M33" s="29" t="n">
        <x:v>489</x:v>
      </x:c>
      <x:c r="N33" s="29" t="n">
        <x:v>383</x:v>
      </x:c>
      <x:c r="O33" s="29" t="n">
        <x:v>155</x:v>
      </x:c>
      <x:c r="P33" s="29" t="n">
        <x:v>444</x:v>
      </x:c>
      <x:c r="Q33" s="29" t="n">
        <x:v>421</x:v>
      </x:c>
      <x:c r="R33" s="29" t="n">
        <x:v>189</x:v>
      </x:c>
      <x:c r="S33" s="29" t="n">
        <x:v>359</x:v>
      </x:c>
      <x:c r="T33" s="29" t="n">
        <x:v>640</x:v>
      </x:c>
      <x:c r="U33" s="29" t="n">
        <x:v>383</x:v>
      </x:c>
      <x:c r="V33" s="29" t="n">
        <x:v>132</x:v>
      </x:c>
      <x:c r="W33" s="29" t="n">
        <x:v>395</x:v>
      </x:c>
      <x:c r="X33" s="29" t="n">
        <x:v>410</x:v>
      </x:c>
      <x:c r="Y33" s="29" t="n">
        <x:v>174</x:v>
      </x:c>
    </x:row>
    <x:row r="34">
      <x:c r="A34" t="str">
        <x:v>SKU-007</x:v>
      </x:c>
      <x:c r="B34" s="29" t="n">
        <x:v>334</x:v>
      </x:c>
      <x:c r="C34" s="29" t="n">
        <x:v>271</x:v>
      </x:c>
      <x:c r="D34" s="29" t="n">
        <x:v>369</x:v>
      </x:c>
      <x:c r="E34" s="29" t="n">
        <x:v>513</x:v>
      </x:c>
      <x:c r="F34" s="29" t="n">
        <x:v>505</x:v>
      </x:c>
      <x:c r="G34" s="29" t="n">
        <x:v>298</x:v>
      </x:c>
      <x:c r="H34" s="29" t="n">
        <x:v>406</x:v>
      </x:c>
      <x:c r="I34" s="29" t="n">
        <x:v>414</x:v>
      </x:c>
      <x:c r="J34" s="29" t="n">
        <x:v>602</x:v>
      </x:c>
      <x:c r="K34" s="29" t="n">
        <x:v>357</x:v>
      </x:c>
      <x:c r="L34" s="29" t="n">
        <x:v>434</x:v>
      </x:c>
      <x:c r="M34" s="29" t="n">
        <x:v>374</x:v>
      </x:c>
      <x:c r="N34" s="29" t="n">
        <x:v>453</x:v>
      </x:c>
      <x:c r="O34" s="29" t="n">
        <x:v>293</x:v>
      </x:c>
      <x:c r="P34" s="29" t="n">
        <x:v>447</x:v>
      </x:c>
      <x:c r="Q34" s="29" t="n">
        <x:v>356</x:v>
      </x:c>
      <x:c r="R34" s="29" t="n">
        <x:v>233</x:v>
      </x:c>
      <x:c r="S34" s="29" t="n">
        <x:v>704</x:v>
      </x:c>
      <x:c r="T34" s="29" t="n">
        <x:v>278</x:v>
      </x:c>
      <x:c r="U34" s="29" t="n">
        <x:v>600</x:v>
      </x:c>
      <x:c r="V34" s="29" t="n">
        <x:v>380</x:v>
      </x:c>
      <x:c r="W34" s="29" t="n">
        <x:v>317</x:v>
      </x:c>
      <x:c r="X34" s="29" t="n">
        <x:v>605</x:v>
      </x:c>
      <x:c r="Y34" s="29" t="n">
        <x:v>263</x:v>
      </x:c>
    </x:row>
    <x:row r="35">
      <x:c r="A35" t="str">
        <x:v>SKU-008</x:v>
      </x:c>
      <x:c r="B35" s="29" t="n">
        <x:v>357</x:v>
      </x:c>
      <x:c r="C35" s="29" t="n">
        <x:v>53</x:v>
      </x:c>
      <x:c r="D35" s="29" t="n">
        <x:v>13</x:v>
      </x:c>
      <x:c r="E35" s="29" t="n">
        <x:v>106</x:v>
      </x:c>
      <x:c r="F35" s="29" t="n">
        <x:v>8</x:v>
      </x:c>
      <x:c r="G35" s="29" t="n">
        <x:v>8</x:v>
      </x:c>
      <x:c r="H35" s="29" t="n">
        <x:v>282</x:v>
      </x:c>
      <x:c r="I35" s="29" t="n">
        <x:v>140</x:v>
      </x:c>
      <x:c r="J35" s="29" t="n">
        <x:v>8</x:v>
      </x:c>
      <x:c r="K35" s="29" t="n">
        <x:v>291</x:v>
      </x:c>
      <x:c r="L35" s="29" t="n">
        <x:v>60</x:v>
      </x:c>
      <x:c r="M35" s="29" t="n">
        <x:v>102</x:v>
      </x:c>
      <x:c r="N35" s="29" t="n">
        <x:v>69</x:v>
      </x:c>
      <x:c r="O35" s="29" t="n">
        <x:v>81</x:v>
      </x:c>
      <x:c r="P35" s="29" t="n">
        <x:v>159</x:v>
      </x:c>
      <x:c r="Q35" s="29" t="n">
        <x:v>26</x:v>
      </x:c>
      <x:c r="R35" s="29" t="n">
        <x:v>1255</x:v>
      </x:c>
      <x:c r="S35" s="29" t="n">
        <x:v>166</x:v>
      </x:c>
      <x:c r="T35" s="29" t="n">
        <x:v>905</x:v>
      </x:c>
      <x:c r="U35" s="29" t="n">
        <x:v>67</x:v>
      </x:c>
      <x:c r="V35" s="29" t="n">
        <x:v>8</x:v>
      </x:c>
      <x:c r="W35" s="29" t="n">
        <x:v>224</x:v>
      </x:c>
      <x:c r="X35" s="29" t="n">
        <x:v>44</x:v>
      </x:c>
      <x:c r="Y35" s="29" t="n">
        <x:v>73</x:v>
      </x:c>
    </x:row>
    <x:row r="36">
      <x:c r="A36" t="str">
        <x:v>SKU-036</x:v>
      </x:c>
      <x:c r="B36" s="29" t="n">
        <x:v>202</x:v>
      </x:c>
      <x:c r="C36" s="29" t="n">
        <x:v>328</x:v>
      </x:c>
      <x:c r="D36" s="29" t="n">
        <x:v>51</x:v>
      </x:c>
      <x:c r="E36" s="29" t="n">
        <x:v>59</x:v>
      </x:c>
      <x:c r="F36" s="29" t="n">
        <x:v>784</x:v>
      </x:c>
      <x:c r="G36" s="29" t="n">
        <x:v>543</x:v>
      </x:c>
      <x:c r="H36" s="29" t="n">
        <x:v>158</x:v>
      </x:c>
      <x:c r="I36" s="29" t="n">
        <x:v>8</x:v>
      </x:c>
      <x:c r="J36" s="29" t="n">
        <x:v>40</x:v>
      </x:c>
      <x:c r="K36" s="29" t="n">
        <x:v>64</x:v>
      </x:c>
      <x:c r="L36" s="29" t="n">
        <x:v>433</x:v>
      </x:c>
      <x:c r="M36" s="29" t="n">
        <x:v>8</x:v>
      </x:c>
      <x:c r="N36" s="29" t="n">
        <x:v>42</x:v>
      </x:c>
      <x:c r="O36" s="29" t="n">
        <x:v>316</x:v>
      </x:c>
      <x:c r="P36" s="29" t="n">
        <x:v>66</x:v>
      </x:c>
      <x:c r="Q36" s="29" t="n">
        <x:v>70</x:v>
      </x:c>
      <x:c r="R36" s="29" t="n">
        <x:v>148</x:v>
      </x:c>
      <x:c r="S36" s="29" t="n">
        <x:v>155</x:v>
      </x:c>
      <x:c r="T36" s="29" t="n">
        <x:v>146</x:v>
      </x:c>
      <x:c r="U36" s="29" t="n">
        <x:v>72</x:v>
      </x:c>
      <x:c r="V36" s="29" t="n">
        <x:v>71</x:v>
      </x:c>
      <x:c r="W36" s="29" t="n">
        <x:v>255</x:v>
      </x:c>
      <x:c r="X36" s="29" t="n">
        <x:v>106</x:v>
      </x:c>
      <x:c r="Y36" s="29" t="n">
        <x:v>202</x:v>
      </x:c>
    </x:row>
    <x:row r="37">
      <x:c r="A37" t="str">
        <x:v>SKU-017</x:v>
      </x:c>
      <x:c r="B37" s="29" t="n">
        <x:v>1084</x:v>
      </x:c>
      <x:c r="C37" s="29" t="n">
        <x:v>156</x:v>
      </x:c>
      <x:c r="D37" s="29" t="n">
        <x:v>60</x:v>
      </x:c>
      <x:c r="E37" s="29" t="n">
        <x:v>75</x:v>
      </x:c>
      <x:c r="F37" s="29" t="n">
        <x:v>131</x:v>
      </x:c>
      <x:c r="G37" s="29" t="n">
        <x:v>464</x:v>
      </x:c>
      <x:c r="H37" s="29" t="n">
        <x:v>23</x:v>
      </x:c>
      <x:c r="I37" s="29" t="n">
        <x:v>165</x:v>
      </x:c>
      <x:c r="J37" s="29" t="n">
        <x:v>8</x:v>
      </x:c>
      <x:c r="K37" s="29" t="n">
        <x:v>113</x:v>
      </x:c>
      <x:c r="L37" s="29" t="n">
        <x:v>244</x:v>
      </x:c>
      <x:c r="M37" s="29" t="n">
        <x:v>52</x:v>
      </x:c>
      <x:c r="N37" s="29" t="n">
        <x:v>55</x:v>
      </x:c>
      <x:c r="O37" s="29" t="n">
        <x:v>153</x:v>
      </x:c>
      <x:c r="P37" s="29" t="n">
        <x:v>106</x:v>
      </x:c>
      <x:c r="Q37" s="29" t="n">
        <x:v>292</x:v>
      </x:c>
      <x:c r="R37" s="29" t="n">
        <x:v>404</x:v>
      </x:c>
      <x:c r="S37" s="29" t="n">
        <x:v>295</x:v>
      </x:c>
      <x:c r="T37" s="29" t="n">
        <x:v>175</x:v>
      </x:c>
      <x:c r="U37" s="29" t="n">
        <x:v>363</x:v>
      </x:c>
      <x:c r="V37" s="29" t="n">
        <x:v>28</x:v>
      </x:c>
      <x:c r="W37" s="29" t="n">
        <x:v>129</x:v>
      </x:c>
      <x:c r="X37" s="29" t="n">
        <x:v>129</x:v>
      </x:c>
      <x:c r="Y37" s="29" t="n">
        <x:v>177</x:v>
      </x:c>
    </x:row>
    <x:row r="38">
      <x:c r="A38" t="str">
        <x:v>SKU-027</x:v>
      </x:c>
      <x:c r="B38" s="29" t="n">
        <x:v>92</x:v>
      </x:c>
      <x:c r="C38" s="29" t="n">
        <x:v>513</x:v>
      </x:c>
      <x:c r="D38" s="29" t="n">
        <x:v>28</x:v>
      </x:c>
      <x:c r="E38" s="29" t="n">
        <x:v>34</x:v>
      </x:c>
      <x:c r="F38" s="29" t="n">
        <x:v>8</x:v>
      </x:c>
      <x:c r="G38" s="29" t="n">
        <x:v>646</x:v>
      </x:c>
      <x:c r="H38" s="29" t="n">
        <x:v>103</x:v>
      </x:c>
      <x:c r="I38" s="29" t="n">
        <x:v>92</x:v>
      </x:c>
      <x:c r="J38" s="29" t="n">
        <x:v>562</x:v>
      </x:c>
      <x:c r="K38" s="29" t="n">
        <x:v>129</x:v>
      </x:c>
      <x:c r="L38" s="29" t="n">
        <x:v>176</x:v>
      </x:c>
      <x:c r="M38" s="29" t="n">
        <x:v>592</x:v>
      </x:c>
      <x:c r="N38" s="29" t="n">
        <x:v>172</x:v>
      </x:c>
      <x:c r="O38" s="29" t="n">
        <x:v>80</x:v>
      </x:c>
      <x:c r="P38" s="29" t="n">
        <x:v>64</x:v>
      </x:c>
      <x:c r="Q38" s="29" t="n">
        <x:v>357</x:v>
      </x:c>
      <x:c r="R38" s="29" t="n">
        <x:v>168</x:v>
      </x:c>
      <x:c r="S38" s="29" t="n">
        <x:v>59</x:v>
      </x:c>
      <x:c r="T38" s="29" t="n">
        <x:v>49</x:v>
      </x:c>
      <x:c r="U38" s="29" t="n">
        <x:v>40</x:v>
      </x:c>
      <x:c r="V38" s="29" t="n">
        <x:v>342</x:v>
      </x:c>
      <x:c r="W38" s="29" t="n">
        <x:v>115</x:v>
      </x:c>
      <x:c r="X38" s="29" t="n">
        <x:v>124</x:v>
      </x:c>
      <x:c r="Y38" s="29" t="n">
        <x:v>142</x:v>
      </x:c>
    </x:row>
    <x:row r="39">
      <x:c r="A39" t="str">
        <x:v>SKU-009</x:v>
      </x:c>
      <x:c r="B39" s="29" t="n">
        <x:v>311</x:v>
      </x:c>
      <x:c r="C39" s="29" t="n">
        <x:v>219</x:v>
      </x:c>
      <x:c r="D39" s="29" t="n">
        <x:v>64</x:v>
      </x:c>
      <x:c r="E39" s="29" t="n">
        <x:v>161</x:v>
      </x:c>
      <x:c r="F39" s="29" t="n">
        <x:v>430</x:v>
      </x:c>
      <x:c r="G39" s="29" t="n">
        <x:v>65</x:v>
      </x:c>
      <x:c r="H39" s="29" t="n">
        <x:v>50</x:v>
      </x:c>
      <x:c r="I39" s="29" t="n">
        <x:v>39</x:v>
      </x:c>
      <x:c r="J39" s="29" t="n">
        <x:v>35</x:v>
      </x:c>
      <x:c r="K39" s="29" t="n">
        <x:v>369</x:v>
      </x:c>
      <x:c r="L39" s="29" t="n">
        <x:v>18</x:v>
      </x:c>
      <x:c r="M39" s="29" t="n">
        <x:v>31</x:v>
      </x:c>
      <x:c r="N39" s="29" t="n">
        <x:v>19</x:v>
      </x:c>
      <x:c r="O39" s="29" t="n">
        <x:v>85</x:v>
      </x:c>
      <x:c r="P39" s="29" t="n">
        <x:v>175</x:v>
      </x:c>
      <x:c r="Q39" s="29" t="n">
        <x:v>78</x:v>
      </x:c>
      <x:c r="R39" s="29" t="n">
        <x:v>495</x:v>
      </x:c>
      <x:c r="S39" s="29" t="n">
        <x:v>57</x:v>
      </x:c>
      <x:c r="T39" s="29" t="n">
        <x:v>100</x:v>
      </x:c>
      <x:c r="U39" s="29" t="n">
        <x:v>137</x:v>
      </x:c>
      <x:c r="V39" s="29" t="n">
        <x:v>192</x:v>
      </x:c>
      <x:c r="W39" s="29" t="n">
        <x:v>88</x:v>
      </x:c>
      <x:c r="X39" s="29" t="n">
        <x:v>8</x:v>
      </x:c>
      <x:c r="Y39" s="29" t="n">
        <x:v>180</x:v>
      </x:c>
    </x:row>
    <x:row r="40">
      <x:c r="A40" t="str">
        <x:v>SKU-018</x:v>
      </x:c>
      <x:c r="B40" s="29" t="n">
        <x:v>720</x:v>
      </x:c>
      <x:c r="C40" s="29" t="n">
        <x:v>136</x:v>
      </x:c>
      <x:c r="D40" s="29" t="n">
        <x:v>501</x:v>
      </x:c>
      <x:c r="E40" s="29" t="n">
        <x:v>94</x:v>
      </x:c>
      <x:c r="F40" s="29" t="n">
        <x:v>160</x:v>
      </x:c>
      <x:c r="G40" s="29" t="n">
        <x:v>272</x:v>
      </x:c>
      <x:c r="H40" s="29" t="n">
        <x:v>388</x:v>
      </x:c>
      <x:c r="I40" s="29" t="n">
        <x:v>224</x:v>
      </x:c>
      <x:c r="J40" s="29" t="n">
        <x:v>22</x:v>
      </x:c>
      <x:c r="K40" s="29" t="n">
        <x:v>66</x:v>
      </x:c>
      <x:c r="L40" s="29" t="n">
        <x:v>169</x:v>
      </x:c>
      <x:c r="M40" s="29" t="n">
        <x:v>357</x:v>
      </x:c>
      <x:c r="N40" s="29" t="n">
        <x:v>71</x:v>
      </x:c>
      <x:c r="O40" s="29" t="n">
        <x:v>19</x:v>
      </x:c>
      <x:c r="P40" s="29" t="n">
        <x:v>15</x:v>
      </x:c>
      <x:c r="Q40" s="29" t="n">
        <x:v>32</x:v>
      </x:c>
      <x:c r="R40" s="29" t="n">
        <x:v>124</x:v>
      </x:c>
      <x:c r="S40" s="29" t="n">
        <x:v>106</x:v>
      </x:c>
      <x:c r="T40" s="29" t="n">
        <x:v>218</x:v>
      </x:c>
      <x:c r="U40" s="29" t="n">
        <x:v>8</x:v>
      </x:c>
      <x:c r="V40" s="29" t="n">
        <x:v>142</x:v>
      </x:c>
      <x:c r="W40" s="29" t="n">
        <x:v>79</x:v>
      </x:c>
      <x:c r="X40" s="29" t="n">
        <x:v>245</x:v>
      </x:c>
      <x:c r="Y40" s="29" t="n">
        <x:v>165</x:v>
      </x:c>
    </x:row>
  </x:sheetData>
  <x:mergeCells>
    <x:mergeCell ref="A1:Y2"/>
  </x:mergeCells>
  <x:pageMargins left="0.7" right="0.7" top="0.75" bottom="0.75" header="0.3" footer="0.3"/>
  <x:tableParts count="1">
    <x:tablePart xmlns:r="http://schemas.openxmlformats.org/officeDocument/2006/relationships" r:id="Rad7c2f9e9ea143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6" hidden="0" customWidth="1"/>
  </x:cols>
  <x:sheetData>
    <x:row r="1">
      <x:c r="A1" s="3" t="str">
        <x:v>Inventory policy parameters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16" t="str">
        <x:v>Parameter</x:v>
      </x:c>
      <x:c r="B4" s="17" t="str">
        <x:v>Value</x:v>
      </x:c>
      <x:c r="C4" s="18" t="str">
        <x:v>Why it is visible</x:v>
      </x:c>
    </x:row>
    <x:row r="5">
      <x:c r="A5" s="19" t="str">
        <x:v>ABC A cumulative threshold</x:v>
      </x:c>
      <x:c r="B5" s="20" t="n">
        <x:v>0.8</x:v>
      </x:c>
      <x:c r="C5" s="27" t="str">
        <x:v>High-value items</x:v>
      </x:c>
    </x:row>
    <x:row r="6">
      <x:c r="A6" s="19" t="str">
        <x:v>ABC B cumulative threshold</x:v>
      </x:c>
      <x:c r="B6" s="20" t="n">
        <x:v>0.95</x:v>
      </x:c>
      <x:c r="C6" s="27" t="str">
        <x:v>Middle-value items</x:v>
      </x:c>
    </x:row>
    <x:row r="7">
      <x:c r="A7" s="19" t="str"/>
      <x:c r="B7" s="22"/>
      <x:c r="C7" s="27" t="str"/>
    </x:row>
    <x:row r="8">
      <x:c r="A8" s="19" t="str">
        <x:v>XYZ X CV threshold</x:v>
      </x:c>
      <x:c r="B8" s="23" t="n">
        <x:v>0.5</x:v>
      </x:c>
      <x:c r="C8" s="27" t="str">
        <x:v>Stable monthly demand</x:v>
      </x:c>
    </x:row>
    <x:row r="9">
      <x:c r="A9" s="19" t="str">
        <x:v>XYZ Y CV threshold</x:v>
      </x:c>
      <x:c r="B9" s="23" t="n">
        <x:v>1</x:v>
      </x:c>
      <x:c r="C9" s="27" t="str">
        <x:v>Moderate variability</x:v>
      </x:c>
    </x:row>
    <x:row r="10">
      <x:c r="A10" s="19" t="str"/>
      <x:c r="B10" s="22"/>
      <x:c r="C10" s="27" t="str"/>
    </x:row>
    <x:row r="11">
      <x:c r="A11" s="19" t="str">
        <x:v>A service factor</x:v>
      </x:c>
      <x:c r="B11" s="23" t="n">
        <x:v>2.05</x:v>
      </x:c>
      <x:c r="C11" s="27" t="str">
        <x:v>Approximately 98% cycle-service factor</x:v>
      </x:c>
    </x:row>
    <x:row r="12">
      <x:c r="A12" s="19" t="str">
        <x:v>B service factor</x:v>
      </x:c>
      <x:c r="B12" s="23" t="n">
        <x:v>1.65</x:v>
      </x:c>
      <x:c r="C12" s="27" t="str">
        <x:v>Approximately 95% cycle-service factor</x:v>
      </x:c>
    </x:row>
    <x:row r="13">
      <x:c r="A13" s="19" t="str">
        <x:v>C service factor</x:v>
      </x:c>
      <x:c r="B13" s="23" t="n">
        <x:v>1.28</x:v>
      </x:c>
      <x:c r="C13" s="27" t="str">
        <x:v>Approximately 90% cycle-service factor</x:v>
      </x:c>
    </x:row>
    <x:row r="14">
      <x:c r="A14" s="19" t="str">
        <x:v>Annual holding rate</x:v>
      </x:c>
      <x:c r="B14" s="20" t="n">
        <x:v>0.24</x:v>
      </x:c>
      <x:c r="C14" s="27" t="str">
        <x:v>Editable carrying-cost assumption</x:v>
      </x:c>
    </x:row>
    <x:row r="15">
      <x:c r="A15" s="24" t="str">
        <x:v>Days per planning month</x:v>
      </x:c>
      <x:c r="B15" s="25" t="n">
        <x:v>30</x:v>
      </x:c>
      <x:c r="C15" s="28" t="str">
        <x:v>Converts lead time to months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3" t="str">
        <x:v>Data notes and audit trail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40" t="str">
        <x:v>Item</x:v>
      </x:c>
      <x:c r="B4" s="40" t="str">
        <x:v>Detail</x:v>
      </x:c>
    </x:row>
    <x:row r="5" ht="34" customHeight="1">
      <x:c r="A5" s="178" t="str">
        <x:v>Data status</x:v>
      </x:c>
      <x:c r="B5" s="54" t="str">
        <x:v>Synthetic. No employer, client, retailer or supplier records are used.</x:v>
      </x:c>
    </x:row>
    <x:row r="6" ht="34" customHeight="1">
      <x:c r="A6" s="178" t="str">
        <x:v>History</x:v>
      </x:c>
      <x:c r="B6" s="54" t="str">
        <x:v>24 monthly observations from January 2024 to December 2025.</x:v>
      </x:c>
    </x:row>
    <x:row r="7" ht="34" customHeight="1">
      <x:c r="A7" s="178" t="str">
        <x:v>SKU count</x:v>
      </x:c>
      <x:c r="B7" s="54" t="str">
        <x:v>36 invented SKUs across four FMCG categories.</x:v>
      </x:c>
    </x:row>
    <x:row r="8" ht="34" customHeight="1">
      <x:c r="A8" s="178" t="str">
        <x:v>ABC rule</x:v>
      </x:c>
      <x:c r="B8" s="54" t="str">
        <x:v>Recent 12-month demand multiplied by unit cost, sorted by annual consumption value.</x:v>
      </x:c>
    </x:row>
    <x:row r="9" ht="34" customHeight="1">
      <x:c r="A9" s="178" t="str">
        <x:v>XYZ rule</x:v>
      </x:c>
      <x:c r="B9" s="54" t="str">
        <x:v>Coefficient of variation: X at or below 0.50, Y at or below 1.00, Z above 1.00.</x:v>
      </x:c>
    </x:row>
    <x:row r="10" ht="34" customHeight="1">
      <x:c r="A10" s="178" t="str">
        <x:v>Safety stock</x:v>
      </x:c>
      <x:c r="B10" s="54" t="str">
        <x:v>Service factor times monthly demand deviation times square root of lead time in months.</x:v>
      </x:c>
    </x:row>
    <x:row r="11" ht="34" customHeight="1">
      <x:c r="A11" s="178" t="str">
        <x:v>Reorder point</x:v>
      </x:c>
      <x:c r="B11" s="54" t="str">
        <x:v>Expected lead-time demand plus safety stock.</x:v>
      </x:c>
    </x:row>
    <x:row r="12" ht="34" customHeight="1">
      <x:c r="A12" s="178" t="str">
        <x:v>EOQ</x:v>
      </x:c>
      <x:c r="B12" s="54" t="str">
        <x:v>Standard EOQ using annual demand, order cost and annual holding cost.</x:v>
      </x:c>
    </x:row>
    <x:row r="13" ht="34" customHeight="1">
      <x:c r="A13" s="178" t="str">
        <x:v>Potential release</x:v>
      </x:c>
      <x:c r="B13" s="54" t="str">
        <x:v>Current stock above safety stock plus one EOQ cycle. Review before action.</x:v>
      </x:c>
    </x:row>
    <x:row r="14" ht="34" customHeight="1">
      <x:c r="A14" s="178" t="str">
        <x:v>Sources</x:v>
      </x:c>
      <x:c r="B14" s="54" t="str">
        <x:v>Microsoft ABC Analysis; MDPI Systems 2024 safety-stock case; Oracle Inventory User's Guide.</x:v>
      </x:c>
    </x:row>
  </x:sheetData>
  <x:mergeCells>
    <x:mergeCell ref="A1:F2"/>
  </x:mergeCells>
  <x:pageMargins left="0.7" right="0.7" top="0.75" bottom="0.75" header="0.3" footer="0.3"/>
</x:worksheet>
</file>